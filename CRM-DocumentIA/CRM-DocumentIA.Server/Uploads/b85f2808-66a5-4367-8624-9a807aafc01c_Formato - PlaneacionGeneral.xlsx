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ACION CURSO" sheetId="1" r:id="rId4"/>
  </sheets>
  <definedNames/>
  <calcPr/>
  <extLst>
    <ext uri="GoogleSheetsCustomDataVersion2">
      <go:sheetsCustomData xmlns:go="http://customooxmlschemas.google.com/" r:id="rId5" roundtripDataChecksum="aBpcruMe6UFLedfX6ORZXsOWpLjzz1g5qWzsYjKkTjg="/>
    </ext>
  </extLst>
</workbook>
</file>

<file path=xl/sharedStrings.xml><?xml version="1.0" encoding="utf-8"?>
<sst xmlns="http://schemas.openxmlformats.org/spreadsheetml/2006/main" count="544" uniqueCount="400">
  <si>
    <t>FORMATO DE PLANEACIÓN por Módulo/Unidad</t>
  </si>
  <si>
    <t>Nombre del módulo/unidad</t>
  </si>
  <si>
    <t>Competencias Específicas</t>
  </si>
  <si>
    <t>Resultados de aprendizaje</t>
  </si>
  <si>
    <t>Elaborado Por</t>
  </si>
  <si>
    <t>Número de Créditos</t>
  </si>
  <si>
    <t>Horas Tutor</t>
  </si>
  <si>
    <t>Horas Estudiante</t>
  </si>
  <si>
    <t>Relación Presencial/No presencial</t>
  </si>
  <si>
    <t>Unidad  1</t>
  </si>
  <si>
    <t>Tema</t>
  </si>
  <si>
    <t>Modalidad</t>
  </si>
  <si>
    <t>Tipo de recurso</t>
  </si>
  <si>
    <t>Tiempo del recurso expresado en minutos</t>
  </si>
  <si>
    <t>Tiempo de dedicación del estudiante expresado en minutos</t>
  </si>
  <si>
    <t>Temáticas
(Describir los temas concretos)</t>
  </si>
  <si>
    <t xml:space="preserve">Actividades de Aprendizaje </t>
  </si>
  <si>
    <t>Valor porcentual</t>
  </si>
  <si>
    <t xml:space="preserve">Herramienta a usar  
</t>
  </si>
  <si>
    <t>Recursos de Apoyo 
(Identificar escritos, lecturas, presentaciones, sitios web, recursos multimedia, videos - YA EXISTENTES O QUE SE VAYA A ELABORAR)</t>
  </si>
  <si>
    <t>Contribución del Tema a los Resltados de Aprendizaje  de la Actividad Académica (Asignatura)</t>
  </si>
  <si>
    <t>1.1 Introducción a los datos en IA</t>
  </si>
  <si>
    <t>Desarrollo de la temática</t>
  </si>
  <si>
    <t>Conceptos básicos de datos, clasificación general, importancia en IA</t>
  </si>
  <si>
    <t xml:space="preserve">El estudiante recibe una clase sobre la importancia y uso de datos en IA </t>
  </si>
  <si>
    <t>Recurso #1</t>
  </si>
  <si>
    <t>R1, R2, R3 - Establece los conceptos fundamentales que son base para todos los procesos de tratamiento de datos</t>
  </si>
  <si>
    <t>1.2 Características de datos estructurados</t>
  </si>
  <si>
    <t>Video</t>
  </si>
  <si>
    <t>Bases de datos relacionales, esquemas fijos, tablas, tipos de datos</t>
  </si>
  <si>
    <t>El estudiante debe observar el video en recurso para identificar estructuras de datos en casos reales.</t>
  </si>
  <si>
    <t>Video #1</t>
  </si>
  <si>
    <t>R1 - Proporciona fundamentos sobre datos estructurados necesarios para aplicar técnicas de limpieza y normalización</t>
  </si>
  <si>
    <t>1.3 Características de datos no estructurados</t>
  </si>
  <si>
    <t xml:space="preserve">Video </t>
  </si>
  <si>
    <t>Texto, imágenes, audio, video, características principales</t>
  </si>
  <si>
    <t>El estudiante debe observar el video en recurso para clasificar tipos de datos no estructurados en ejemplos reales.</t>
  </si>
  <si>
    <t>Video #2</t>
  </si>
  <si>
    <t>R2 - Establece la base conceptual para la identificación de diferentes tipos de datos no estructurados</t>
  </si>
  <si>
    <t>1.4 Diferencias clave entre datos estructurados y no estructurados</t>
  </si>
  <si>
    <t>Desarrollo de la temática, actividad interactiva</t>
  </si>
  <si>
    <t>Comparación, ventajas, desventajas, casos de uso específicos</t>
  </si>
  <si>
    <t>El estudiante analiza comparativamente los datos estructurados y no estructurados, participando en una actividad interactiva para identificar ventajas, desventajas y casos de aplicación.</t>
  </si>
  <si>
    <t>Recurso #2</t>
  </si>
  <si>
    <t>R1, R2 - Permite comprender cuándo aplicar técnicas específicas según el tipo de dato</t>
  </si>
  <si>
    <t>1.5 Ecosistema de herramientas para procesamiento de datos</t>
  </si>
  <si>
    <t>Tutorial interactivo</t>
  </si>
  <si>
    <t>Python, R, SQL, herramientas NoSQL, frameworks de Big Data</t>
  </si>
  <si>
    <t>Instalación y configuración de entorno de trabajo. Comparación práctica de herramientas</t>
  </si>
  <si>
    <t>Python, Anaconda, Jupyter</t>
  </si>
  <si>
    <t>R1, R2, R3 - Proporciona las herramientas técnicas necesarias para el procesamiento de datos</t>
  </si>
  <si>
    <t>1.6 Calidad de datos y métricas básicas</t>
  </si>
  <si>
    <t>Webinar + Quiz</t>
  </si>
  <si>
    <t>Completitud, consistencia, validez, precisión, integridad</t>
  </si>
  <si>
    <t>Evaluación de calidad en datasets reales. Cálculo de métricas de calidad</t>
  </si>
  <si>
    <t>Python (Pandas), Excel</t>
  </si>
  <si>
    <t>R1 - Establece criterios para evaluar la calidad antes de aplicar técnicas de limpieza</t>
  </si>
  <si>
    <t>1.7 Formatos de almacenamiento de datos</t>
  </si>
  <si>
    <t>Video tutorial</t>
  </si>
  <si>
    <t>CSV, JSON, XML, Parquet, formatos de imagen, audio</t>
  </si>
  <si>
    <t>Conversión práctica entre formatos. Evaluación de eficiencia de almacenamiento</t>
  </si>
  <si>
    <t>Python, herramientas de conversión</t>
  </si>
  <si>
    <t>R1, R2 - Permite manejar diversos formatos de entrada para procesamiento</t>
  </si>
  <si>
    <t>1.8 Principios de preprocesamiento de datos</t>
  </si>
  <si>
    <t>Clase teórico-práctica</t>
  </si>
  <si>
    <t>ETL, pipelines de datos, flujos de trabajo</t>
  </si>
  <si>
    <t>Diseño y creación de pipeline básico de procesamiento. Implementación de flujo ETL</t>
  </si>
  <si>
    <t>Python, Apache Airflow (básico)</t>
  </si>
  <si>
    <t>R1, R2, R3 - Proporciona metodología sistemática para el procesamiento de datos</t>
  </si>
  <si>
    <t>1.9 Ética y privacidad en el manejo de datos</t>
  </si>
  <si>
    <t>Conferencia + Foro</t>
  </si>
  <si>
    <t>GDPR, protección de datos personales, anonimización</t>
  </si>
  <si>
    <t>Análisis de casos éticos en IA. Debate sobre dilemas en el manejo de datos</t>
  </si>
  <si>
    <t>Plataforma de foros, Herramientas de anonimización</t>
  </si>
  <si>
    <t>R1, R2, R3 - Desarrolla conciencia ética en el tratamiento de datos</t>
  </si>
  <si>
    <t>1.10 Introducción a Big Data y su relación con IA</t>
  </si>
  <si>
    <t>Video + Lectura</t>
  </si>
  <si>
    <t>Las 5 V's del Big Data, arquitecturas distribuidas</t>
  </si>
  <si>
    <t>Análisis grupal de casos de éxito. Presentación de proyecto empresarial</t>
  </si>
  <si>
    <t>Diagramas de arquitectura, Simuladores</t>
  </si>
  <si>
    <t>R1, R2, R3 - Contextualiza el aprendizaje con aplicaciones reales</t>
  </si>
  <si>
    <t>1.11 Casos de estudio: Aplicaciones reales en la industria</t>
  </si>
  <si>
    <t>Presentación de casos + Discusión</t>
  </si>
  <si>
    <t>Casos Netflix, Amazon, Google, aplicaciones locales</t>
  </si>
  <si>
    <t>Análisis grupal de casos de éxito</t>
  </si>
  <si>
    <t>Herramientas de presentación</t>
  </si>
  <si>
    <t>R1, R2, R3</t>
  </si>
  <si>
    <t>TOTAL MINUTOS UNIDAD 1</t>
  </si>
  <si>
    <t>Total Porcentaje Unidad 1</t>
  </si>
  <si>
    <t>TOTAL HORAS UNIDAD 1</t>
  </si>
  <si>
    <t>Porcentaje Unidad 1 /Módulo</t>
  </si>
  <si>
    <t>Unidad 2</t>
  </si>
  <si>
    <t>Herramienta a usar  
(Definir herramientas de apoyo)</t>
  </si>
  <si>
    <t>2.1 Exploración inicial de datos estructurados</t>
  </si>
  <si>
    <t>Virtual</t>
  </si>
  <si>
    <t>Tutorial práctico</t>
  </si>
  <si>
    <t>EDA, estadísticas descriptivas, visualización básica</t>
  </si>
  <si>
    <t>Análisis exploratorio de dataset real</t>
  </si>
  <si>
    <t>Python (Pandas, Matplotlib), Jupyter</t>
  </si>
  <si>
    <t>Dataset financiero, Guía EDA</t>
  </si>
  <si>
    <t>R1</t>
  </si>
  <si>
    <t>2.2 Identificación de problemas en datos</t>
  </si>
  <si>
    <t>Presencial</t>
  </si>
  <si>
    <t>Laboratorio práctico</t>
  </si>
  <si>
    <t>Datos faltantes, duplicados, outliers, inconsistencias</t>
  </si>
  <si>
    <t>Auditoría completa de calidad de datos</t>
  </si>
  <si>
    <t>Python, SQL, herramientas de profiling</t>
  </si>
  <si>
    <t>Dataset con problemas reales, Checklist de auditoría</t>
  </si>
  <si>
    <t>2.3 Tratamiento de datos faltantes</t>
  </si>
  <si>
    <t>Video + Ejercicios</t>
  </si>
  <si>
    <t>Eliminación, imputación, técnicas avanzadas (KNN, regresión)</t>
  </si>
  <si>
    <t>Implementación de estrategias de imputación</t>
  </si>
  <si>
    <t>Python (Scikit-learn), R</t>
  </si>
  <si>
    <t>Datasets con valores faltantes, Comparativas de técnicas</t>
  </si>
  <si>
    <t>2.4 Detección y manejo de duplicados</t>
  </si>
  <si>
    <t>Identificación, criterios de eliminación, preservación de información</t>
  </si>
  <si>
    <t>Limpieza de base de datos de clientes</t>
  </si>
  <si>
    <t>Python (Pandas), SQL</t>
  </si>
  <si>
    <t>Base de datos con duplicados, Algoritmos de detección</t>
  </si>
  <si>
    <t>2.5 Detección y tratamiento de outliers</t>
  </si>
  <si>
    <t>Webinar + Práctica</t>
  </si>
  <si>
    <t>Métodos estadísticos, IQR, Z-score, algoritmos de detección</t>
  </si>
  <si>
    <t>Análisis de outliers en datos de ventas</t>
  </si>
  <si>
    <t>Python (NumPy, SciPy), R</t>
  </si>
  <si>
    <t>Datasets con outliers, Técnicas de visualización</t>
  </si>
  <si>
    <t>2.6 Normalización y estandarización</t>
  </si>
  <si>
    <t>Clase práctica</t>
  </si>
  <si>
    <t>Min-Max, Z-score, normalización robusta, escalado por unidad</t>
  </si>
  <si>
    <t>Preparación de datos para algoritmos ML</t>
  </si>
  <si>
    <t>Python (Scikit-learn), Excel avanzado</t>
  </si>
  <si>
    <t>Datasets para normalizar, Comparativas de técnicas</t>
  </si>
  <si>
    <t>2.7 Transformación de tipos de datos</t>
  </si>
  <si>
    <t>Tutorial</t>
  </si>
  <si>
    <t>Conversión de tipos, codificación categórica, manejo de fechas</t>
  </si>
  <si>
    <t>Preparación de dataset multimodal</t>
  </si>
  <si>
    <t>Python (Pandas), herramientas ETL</t>
  </si>
  <si>
    <t>Datasets con tipos mixtos, Guías de conversión</t>
  </si>
  <si>
    <t>2.8 Validación e integridad de datos</t>
  </si>
  <si>
    <t>Video + Quiz</t>
  </si>
  <si>
    <t>Reglas de negocio, restricciones, validación automática</t>
  </si>
  <si>
    <t>Implementación de reglas de validación</t>
  </si>
  <si>
    <t>SQL, Python (Great Expectations)</t>
  </si>
  <si>
    <t>Casos de reglas de negocio, Framework de validación</t>
  </si>
  <si>
    <t>2.9 Técnicas de muestreo y particionamiento</t>
  </si>
  <si>
    <t>Clase interactiva</t>
  </si>
  <si>
    <t>Muestreo aleatorio, estratificado, partición train/test/validation</t>
  </si>
  <si>
    <t>Preparación de datos para modelos ML</t>
  </si>
  <si>
    <t>Datasets grandes, Técnicas de muestreo</t>
  </si>
  <si>
    <t>2.10 Optimización de consultas SQL</t>
  </si>
  <si>
    <t>Laboratorio SQL</t>
  </si>
  <si>
    <t>Índices, optimización de queries, manejo de grandes volúmenes</t>
  </si>
  <si>
    <t>Optimización de consultas complejas</t>
  </si>
  <si>
    <t>PostgreSQL, MySQL, herramientas de análisis</t>
  </si>
  <si>
    <t>Base de datos empresarial, Scripts optimizados</t>
  </si>
  <si>
    <t>2.11 Automatización de procesos de limpieza</t>
  </si>
  <si>
    <t>Proyecto guiado</t>
  </si>
  <si>
    <t>Scripts automatizados, pipelines ETL, monitoreo</t>
  </si>
  <si>
    <t>Creación de pipeline automatizado</t>
  </si>
  <si>
    <t>Python, Apache Airflow, Cron</t>
  </si>
  <si>
    <t>Ejemplos de automatización, Herramientas de scheduling</t>
  </si>
  <si>
    <t>2.12 Documentación del proceso de limpieza</t>
  </si>
  <si>
    <t>Taller de documentación</t>
  </si>
  <si>
    <t>Metadatos, lineage de datos, documentación técnica</t>
  </si>
  <si>
    <t>Creación de documentación de proyecto</t>
  </si>
  <si>
    <t>Herramientas de documentación, Git</t>
  </si>
  <si>
    <t>Templates de documentación, Ejemplos profesionales</t>
  </si>
  <si>
    <t>TOTAL MINUTOS UNIDAD 2</t>
  </si>
  <si>
    <t>Total Porcentaje Unidad 2</t>
  </si>
  <si>
    <t>TOTAL HORAS UNIDAD 2</t>
  </si>
  <si>
    <t>Porcentaje Unidad 2 /Módulo</t>
  </si>
  <si>
    <t>Unidad 3</t>
  </si>
  <si>
    <t>Unidad</t>
  </si>
  <si>
    <t>3.1 Introducción al procesamiento de texto</t>
  </si>
  <si>
    <t>NLP básico, tokenización, stemming, lemmatización</t>
  </si>
  <si>
    <t>Procesamiento de corpus de noticias</t>
  </si>
  <si>
    <t>Python (NLTK, spaCy), Jupyter</t>
  </si>
  <si>
    <t>Corpus de texto, Librerías NLP</t>
  </si>
  <si>
    <t>R2</t>
  </si>
  <si>
    <t>3.2 Preprocesamiento de texto avanzado</t>
  </si>
  <si>
    <t>Limpieza, normalización, manejo de encoding, regex</t>
  </si>
  <si>
    <t>Limpieza de dataset de redes sociales</t>
  </si>
  <si>
    <t>Python (re, NLTK), herramientas de texto</t>
  </si>
  <si>
    <t>Dataset de Twitter, Expresiones regulares</t>
  </si>
  <si>
    <t>3.3 Extracción de características de texto</t>
  </si>
  <si>
    <t>Bag of Words, TF-IDF, n-gramas, word embeddings</t>
  </si>
  <si>
    <t>Vectorización de documentos</t>
  </si>
  <si>
    <t>Python (Scikit-learn, Gensim)</t>
  </si>
  <si>
    <t>Colección de documentos, Modelos pre-entrenados</t>
  </si>
  <si>
    <t>3.4 Análisis de sentimientos y clasificación de texto</t>
  </si>
  <si>
    <t>Técnicas de clasificación, modelos supervisados</t>
  </si>
  <si>
    <t>Clasificador de reseñas de productos</t>
  </si>
  <si>
    <t>Python (TextBlob, Transformers)</t>
  </si>
  <si>
    <t>Dataset de reseñas, Modelos BERT</t>
  </si>
  <si>
    <t>3.5 Procesamiento de imágenes digitales</t>
  </si>
  <si>
    <t>Formatos, resolución, canales de color, filtros básicos</t>
  </si>
  <si>
    <t>Análisis de dataset de imágenes médicas</t>
  </si>
  <si>
    <t>Python (OpenCV, PIL), GIMP</t>
  </si>
  <si>
    <t>Dataset ImageNet, Herramientas de visión</t>
  </si>
  <si>
    <t>3.6 Extracción de características de imágenes</t>
  </si>
  <si>
    <t>Video + Práctica</t>
  </si>
  <si>
    <t>Histogramas, texturas, bordes, descriptores SIFT/SURF</t>
  </si>
  <si>
    <t>Feature extraction para clasificación</t>
  </si>
  <si>
    <t>Python (OpenCV, Scikit-image)</t>
  </si>
  <si>
    <t>Imágenes de diferentes categorías, Algoritmos clásicos</t>
  </si>
  <si>
    <t>3.7 Introducción a redes neuronales convolucionales</t>
  </si>
  <si>
    <t>Webinar + Código</t>
  </si>
  <si>
    <t>CNN básicas, capas convolucionales, pooling</t>
  </si>
  <si>
    <t>Clasificador de imágenes con CNN</t>
  </si>
  <si>
    <t>Python (TensorFlow, Keras)</t>
  </si>
  <si>
    <t>Dataset CIFAR-10, Modelos pre-entrenados</t>
  </si>
  <si>
    <t>3.8 Procesamiento de audio digital</t>
  </si>
  <si>
    <t>Tutorial multimedia</t>
  </si>
  <si>
    <t>Formatos de audio, frecuencia, amplitud, espectrogramas</t>
  </si>
  <si>
    <t>Análisis de señales de voz</t>
  </si>
  <si>
    <t>Python (Librosa, PyAudio)</t>
  </si>
  <si>
    <t>Muestras de audio, Herramientas de análisis</t>
  </si>
  <si>
    <t>3.9 Extracción de características de audio</t>
  </si>
  <si>
    <t>Laboratorio de audio</t>
  </si>
  <si>
    <t>MFCC, espectro de frecuencias, características temporales</t>
  </si>
  <si>
    <t>Clasificador de géneros musicales</t>
  </si>
  <si>
    <t>Python (Librosa, NumPy)</t>
  </si>
  <si>
    <t>Dataset musical, Técnicas de feature extraction</t>
  </si>
  <si>
    <t>3.10 Procesamiento de video</t>
  </si>
  <si>
    <t>Frames, compresión, extracción de características temporales</t>
  </si>
  <si>
    <t>Análisis de secuencias de video</t>
  </si>
  <si>
    <t>Python (OpenCV, FFmpeg)</t>
  </si>
  <si>
    <t>Videos de ejemplo, Herramientas de edición</t>
  </si>
  <si>
    <t>3.11 Web scraping y extracción de datos web</t>
  </si>
  <si>
    <t>Proyecto práctico</t>
  </si>
  <si>
    <t>BeautifulSoup, Selenium, APIs, datos en tiempo real</t>
  </si>
  <si>
    <t>Extracción de datos de e-commerce</t>
  </si>
  <si>
    <t>Python (Requests, BeautifulSoup)</t>
  </si>
  <si>
    <t>APIs públicas, Sitios web de prueba</t>
  </si>
  <si>
    <t>3.12 Integración de múltiples tipos de datos no estructurados</t>
  </si>
  <si>
    <t>Proyecto integrador</t>
  </si>
  <si>
    <t>Fusión multimodal, correlación entre tipos de datos</t>
  </si>
  <si>
    <t>Análisis multimodal de redes sociales</t>
  </si>
  <si>
    <t>Python (múltiples librerías)</t>
  </si>
  <si>
    <t>Dataset multimodal, Framework de integración</t>
  </si>
  <si>
    <t>R2, R3</t>
  </si>
  <si>
    <t>TOTAL MINUTOS UNIDAD 3</t>
  </si>
  <si>
    <t>Total Porcentaje Unidad 3</t>
  </si>
  <si>
    <t>TOTAL HORAS UNIDAD 3</t>
  </si>
  <si>
    <t>Porcentaje Unidad 3 /Módulo</t>
  </si>
  <si>
    <t>Unidad 4</t>
  </si>
  <si>
    <t>4.1 Arquitecturas de datos para IA</t>
  </si>
  <si>
    <t>Conferencia + Diagrama</t>
  </si>
  <si>
    <t>Data lakes, data warehouses, arquitecturas lambda</t>
  </si>
  <si>
    <t>Diseño de arquitectura de datos</t>
  </si>
  <si>
    <t>Herramientas de modelado, Cloud platforms</t>
  </si>
  <si>
    <t>Casos de arquitecturas reales, Diagramas técnicos</t>
  </si>
  <si>
    <t>R3</t>
  </si>
  <si>
    <t>4.2 Técnicas de fusión de datos</t>
  </si>
  <si>
    <t>Clase magistral + Taller</t>
  </si>
  <si>
    <t>Early fusion, late fusion, intermediate fusion</t>
  </si>
  <si>
    <t>Implementación de estrategias de fusión</t>
  </si>
  <si>
    <t>Python, herramientas de ML</t>
  </si>
  <si>
    <t>Datasets multimodales, Algoritmos de fusión</t>
  </si>
  <si>
    <t>4.3 Bases de datos NoSQL para datos no estructurados</t>
  </si>
  <si>
    <t>MongoDB, Cassandra, Neo4j, casos de uso</t>
  </si>
  <si>
    <t>Implementación de BD documental</t>
  </si>
  <si>
    <t>MongoDB, Neo4j</t>
  </si>
  <si>
    <t>Datasets JSON, Guías de instalación</t>
  </si>
  <si>
    <t>4.4 ETL para datos heterogéneos</t>
  </si>
  <si>
    <t>Pipelines complejos, transformaciones multimodales</t>
  </si>
  <si>
    <t>Pipeline ETL completo</t>
  </si>
  <si>
    <t>Apache Airflow, Python</t>
  </si>
  <si>
    <t>Datos de diferentes fuentes, Templates ETL</t>
  </si>
  <si>
    <t>4.5 Sincronización y consistencia de datos</t>
  </si>
  <si>
    <t>Webinar técnico</t>
  </si>
  <si>
    <t>ACID, BASE, eventual consistency, transacciones</t>
  </si>
  <si>
    <t>Manejo de consistencia en sistemas distribuidos</t>
  </si>
  <si>
    <t>Herramientas de BD distribuidas</t>
  </si>
  <si>
    <t>Casos de inconsistencia, Patrones de diseño</t>
  </si>
  <si>
    <t>4.6 Técnicas de matching y linking de datos</t>
  </si>
  <si>
    <t>Laboratorio especializado</t>
  </si>
  <si>
    <t>Record linkage, entity resolution, deduplicación</t>
  </si>
  <si>
    <t>Unificación de bases de datos de clientes</t>
  </si>
  <si>
    <t>Python (RecordLinkage), R</t>
  </si>
  <si>
    <t>Múltiples datasets de una entidad</t>
  </si>
  <si>
    <t>R1, R3</t>
  </si>
  <si>
    <t>4.7 Manejo de datos en tiempo real</t>
  </si>
  <si>
    <t>Demo + Práctica</t>
  </si>
  <si>
    <t>Streaming, Apache Kafka, procesamiento en vivo</t>
  </si>
  <si>
    <t>Sistema de análisis en tiempo real</t>
  </si>
  <si>
    <t>Apache Kafka, Python</t>
  </si>
  <si>
    <t>Streams de datos, Herramientas de monitoring</t>
  </si>
  <si>
    <t>4.8 Data governance y lineage</t>
  </si>
  <si>
    <t>Video + Caso práctico</t>
  </si>
  <si>
    <t>Políticas de datos, trazabilidad, metadatos</t>
  </si>
  <si>
    <t>Implementación de gobierno de datos</t>
  </si>
  <si>
    <t>Herramientas de governance</t>
  </si>
  <si>
    <t>Políticas empresariales, Frameworks de gobierno</t>
  </si>
  <si>
    <t>4.9 Optimización de almacenamiento híbrido</t>
  </si>
  <si>
    <t>Tutorial avanzado</t>
  </si>
  <si>
    <t>Particionamiento, compresión, índices híbridos</t>
  </si>
  <si>
    <t>Optimización de storage multimodal</t>
  </si>
  <si>
    <t>Herramientas de BD, sistemas de archivos</t>
  </si>
  <si>
    <t>Datasets grandes, Técnicas de optimización</t>
  </si>
  <si>
    <t>4.10 APIs y microservicios para datos</t>
  </si>
  <si>
    <t>Desarrollo práctico</t>
  </si>
  <si>
    <t>REST APIs, GraphQL, containerización</t>
  </si>
  <si>
    <t>API para servir datos procesados</t>
  </si>
  <si>
    <t>Python (Flask/FastAPI), Docker</t>
  </si>
  <si>
    <t>Ejemplos de APIs, Herramientas de desarrollo</t>
  </si>
  <si>
    <t>4.11 Monitoreo y calidad en sistemas integrados</t>
  </si>
  <si>
    <t>Herramientas + Métricas</t>
  </si>
  <si>
    <t>KPIs de calidad, alertas, dashboard de monitoreo</t>
  </si>
  <si>
    <t>Sistema de monitoreo de calidad</t>
  </si>
  <si>
    <t>Grafana, Prometheus, Python</t>
  </si>
  <si>
    <t>Métricas de calidad, Dashboards ejemplo</t>
  </si>
  <si>
    <t>4.12 Escalabilidad y performance en sistemas de datos</t>
  </si>
  <si>
    <t>Análisis de casos</t>
  </si>
  <si>
    <t>Horizontal scaling, caching, optimización</t>
  </si>
  <si>
    <t>Análisis de bottlenecks y soluciones</t>
  </si>
  <si>
    <t>Herramientas de profiling</t>
  </si>
  <si>
    <t>Casos de optimización, Herramientas de análisis</t>
  </si>
  <si>
    <t>TOTAL MINUTOS UNIDAD 4</t>
  </si>
  <si>
    <t>Total Porcentaje Unidad 4</t>
  </si>
  <si>
    <t>TOTAL HORAS UNIDAD 4</t>
  </si>
  <si>
    <t>Porcentaje Unidad 4 /Módulo</t>
  </si>
  <si>
    <t>Unidad 5</t>
  </si>
  <si>
    <t>5.1 Preparación de datos para machine learning</t>
  </si>
  <si>
    <t>Laboratorio ML</t>
  </si>
  <si>
    <t>Feature engineering, selection, encoding para ML</t>
  </si>
  <si>
    <t>Preparación completa de dataset para modelo</t>
  </si>
  <si>
    <t>Python (Scikit-learn, Pandas)</t>
  </si>
  <si>
    <t>Datasets de competencia, Guías ML</t>
  </si>
  <si>
    <t>5.2 Casos de uso: Sistema de recomendación</t>
  </si>
  <si>
    <t>Proyecto completo</t>
  </si>
  <si>
    <t>Collaborative filtering, content-based, datos híbridos</t>
  </si>
  <si>
    <t>Implementación de sistema de recomendación</t>
  </si>
  <si>
    <t>Python (Surprise, TensorFlow)</t>
  </si>
  <si>
    <t>Dataset MovieLens, E-commerce data</t>
  </si>
  <si>
    <t>5.3 Casos de uso: Análisis de sentimientos multimodal</t>
  </si>
  <si>
    <t>NLP + visión computacional, fusión de modalidades</t>
  </si>
  <si>
    <t>Análisis de sentimientos en redes sociales</t>
  </si>
  <si>
    <t>Python (Transformers, OpenCV)</t>
  </si>
  <si>
    <t>Dataset multimodal de redes sociales</t>
  </si>
  <si>
    <t>5.4 Casos de uso: Detección de fraudes</t>
  </si>
  <si>
    <t>Estudio de caso + Implementación</t>
  </si>
  <si>
    <t>Anomaly detection, datos transaccionales + comportamentales</t>
  </si>
  <si>
    <t>Sistema de detección de fraudes bancarios</t>
  </si>
  <si>
    <t>Python (IsolationForest, AutoEncoders)</t>
  </si>
  <si>
    <t>Dataset de transacciones financieras</t>
  </si>
  <si>
    <t>5.5 Casos de uso: Análisis predictivo en salud</t>
  </si>
  <si>
    <t>Proyecto especializado</t>
  </si>
  <si>
    <t>Datos clínicos + imágenes médicas, privacidad</t>
  </si>
  <si>
    <t>Predictor de riesgo médico</t>
  </si>
  <si>
    <t>Python (Medical imaging libraries)</t>
  </si>
  <si>
    <t>Datasets médicos anonimizados</t>
  </si>
  <si>
    <t>5.6 Casos de uso: Smart cities y IoT</t>
  </si>
  <si>
    <t>Simulación + Desarrollo</t>
  </si>
  <si>
    <t>Sensores, datos geoespaciales, tiempo real</t>
  </si>
  <si>
    <t>Dashboard de ciudad inteligente</t>
  </si>
  <si>
    <t>Python, herramientas GIS, IoT simulators</t>
  </si>
  <si>
    <t>Datos de sensores urbanos</t>
  </si>
  <si>
    <t>5.7 Automatización de pipelines ML</t>
  </si>
  <si>
    <t>MLOps práctico</t>
  </si>
  <si>
    <t>CI/CD para ML, versionado de datos y modelos</t>
  </si>
  <si>
    <t>Pipeline automatizado completo</t>
  </si>
  <si>
    <t>MLflow, DVC, GitHub Actions</t>
  </si>
  <si>
    <t>Templates MLOps, Herramientas DevOps</t>
  </si>
  <si>
    <t>5.8 Evaluación y métricas en sistemas integrados</t>
  </si>
  <si>
    <t>Análisis de métricas</t>
  </si>
  <si>
    <t>Métricas multimodales, evaluación holística</t>
  </si>
  <si>
    <t>Framework de evaluación personalizado</t>
  </si>
  <si>
    <t>Python, herramientas de visualización</t>
  </si>
  <si>
    <t>Casos de evaluación, Métricas avanzadas</t>
  </si>
  <si>
    <t>5.9 Interpretabilidad en modelos con datos heterogéneos</t>
  </si>
  <si>
    <t>Taller de explicabilidad</t>
  </si>
  <si>
    <t>SHAP, LIME, interpretabilidad multimodal</t>
  </si>
  <si>
    <t>Explicación de modelo complejo</t>
  </si>
  <si>
    <t>Python (SHAP, LIME)</t>
  </si>
  <si>
    <t>Modelos entrenados, Herramientas XAI</t>
  </si>
  <si>
    <t>5.10 Deployment y producción de sistemas de datos</t>
  </si>
  <si>
    <t>Proyecto de deployment</t>
  </si>
  <si>
    <t>Containerización, cloud deployment, monitoring</t>
  </si>
  <si>
    <t>Despliegue de sistema completo</t>
  </si>
  <si>
    <t>Docker, Kubernetes, Cloud platforms</t>
  </si>
  <si>
    <t>Infraestructura cloud, Templates deployment</t>
  </si>
  <si>
    <t>5.11 Proyecto integrador final - Parte 1</t>
  </si>
  <si>
    <t>Proyecto capstone</t>
  </si>
  <si>
    <t>Definición de problema, arquitectura, planificación</t>
  </si>
  <si>
    <t>Propuesta de proyecto final</t>
  </si>
  <si>
    <t>Herramientas de gestión de proyectos</t>
  </si>
  <si>
    <t>Casos reales de la industria</t>
  </si>
  <si>
    <t>5.12 Proyecto integrador final - Parte 2</t>
  </si>
  <si>
    <t>Implementación y presentación</t>
  </si>
  <si>
    <t>Desarrollo, testing, documentación, presentación</t>
  </si>
  <si>
    <t>Implementación y defensa del proyecto</t>
  </si>
  <si>
    <t>Stack tecnológico completo</t>
  </si>
  <si>
    <t>Recursos del proyecto, Rúbricas evaluación</t>
  </si>
  <si>
    <t>TOTAL MINUTOS UNIDAD 5</t>
  </si>
  <si>
    <t>Total Porcentaje Unidad 5</t>
  </si>
  <si>
    <t>TOTAL HORAS UNIDAD 5</t>
  </si>
  <si>
    <t>Porcentaje Unidad 5 /Módulo</t>
  </si>
  <si>
    <t>TOTAL MINUTOS MÓDULO</t>
  </si>
  <si>
    <t>Porcentaje Total Módulo</t>
  </si>
  <si>
    <t>TOTAL HORAS MÓDULO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</si>
</sst>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sz val="11.0"/>
      <color theme="1"/>
      <name val="Arial Narrow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Calibri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medium">
        <color rgb="FFD5D3D1"/>
      </right>
      <top style="medium">
        <color rgb="FFD5D3D1"/>
      </top>
      <bottom style="medium">
        <color rgb="FFD5D3D1"/>
      </bottom>
    </border>
    <border>
      <top style="medium">
        <color rgb="FFD5D3D1"/>
      </top>
      <bottom style="medium">
        <color rgb="FFD5D3D1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medium">
        <color rgb="FFD5D3D1"/>
      </left>
      <right style="medium">
        <color rgb="FFD5D3D1"/>
      </right>
      <top style="medium">
        <color rgb="FFD5D3D1"/>
      </top>
      <bottom style="medium">
        <color rgb="FFD5D3D1"/>
      </bottom>
    </border>
    <border>
      <right style="medium">
        <color rgb="FFD5D3D1"/>
      </right>
      <bottom style="thin">
        <color rgb="FF000000"/>
      </bottom>
    </border>
    <border>
      <left style="medium">
        <color rgb="FFD5D3D1"/>
      </left>
      <right style="medium">
        <color rgb="FFD5D3D1"/>
      </right>
      <bottom style="medium">
        <color rgb="FFD5D3D1"/>
      </bottom>
    </border>
    <border>
      <right style="medium">
        <color rgb="FFD5D3D1"/>
      </right>
      <bottom style="medium">
        <color rgb="FFD5D3D1"/>
      </bottom>
    </border>
    <border>
      <bottom style="medium">
        <color rgb="FFD5D3D1"/>
      </bottom>
    </border>
    <border>
      <right style="medium">
        <color rgb="FFD5D3D1"/>
      </right>
      <top style="medium">
        <color rgb="FFD5D3D1"/>
      </top>
      <bottom style="thin">
        <color rgb="FF000000"/>
      </bottom>
    </border>
    <border>
      <top style="medium">
        <color rgb="FFD5D3D1"/>
      </top>
      <bottom style="thin">
        <color rgb="FF000000"/>
      </bottom>
    </border>
    <border>
      <right style="medium">
        <color rgb="FFD5D3D1"/>
      </right>
      <top style="medium">
        <color rgb="FFD5D3D1"/>
      </top>
    </border>
    <border>
      <right style="thick">
        <color rgb="FFCCCCCC"/>
      </right>
      <top style="thick">
        <color rgb="FFCCCCCC"/>
      </top>
      <bottom style="thick">
        <color rgb="FFCCCCCC"/>
      </bottom>
    </border>
    <border>
      <right style="medium">
        <color rgb="FFD5D3D1"/>
      </right>
    </border>
    <border>
      <left/>
      <right style="medium">
        <color rgb="FFD5D3D1"/>
      </right>
      <top style="medium">
        <color rgb="FFD5D3D1"/>
      </top>
      <bottom style="medium">
        <color rgb="FFD5D3D1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horizontal="center"/>
    </xf>
    <xf borderId="0" fillId="0" fontId="2" numFmtId="0" xfId="0" applyAlignment="1" applyFont="1">
      <alignment horizontal="left"/>
    </xf>
    <xf borderId="1" fillId="3" fontId="6" numFmtId="0" xfId="0" applyBorder="1" applyFill="1" applyFont="1"/>
    <xf borderId="1" fillId="3" fontId="2" numFmtId="0" xfId="0" applyAlignment="1" applyBorder="1" applyFont="1">
      <alignment horizontal="left"/>
    </xf>
    <xf borderId="0" fillId="3" fontId="3" numFmtId="0" xfId="0" applyAlignment="1" applyFont="1">
      <alignment horizontal="center"/>
    </xf>
    <xf borderId="0" fillId="0" fontId="2" numFmtId="0" xfId="0" applyAlignment="1" applyFont="1">
      <alignment horizontal="center" textRotation="255" vertical="center"/>
    </xf>
    <xf borderId="2" fillId="4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5" fillId="0" fontId="8" numFmtId="9" xfId="0" applyAlignment="1" applyBorder="1" applyFont="1" applyNumberFormat="1">
      <alignment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12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readingOrder="0" shrinkToFit="0" vertical="center" wrapText="1"/>
    </xf>
    <xf borderId="15" fillId="0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textRotation="255" vertical="center"/>
    </xf>
    <xf borderId="9" fillId="0" fontId="8" numFmtId="0" xfId="0" applyAlignment="1" applyBorder="1" applyFont="1">
      <alignment horizontal="center" readingOrder="0" shrinkToFit="0" vertical="center" wrapText="1"/>
    </xf>
    <xf borderId="16" fillId="0" fontId="8" numFmtId="9" xfId="0" applyAlignment="1" applyBorder="1" applyFont="1" applyNumberFormat="1">
      <alignment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17" fillId="0" fontId="8" numFmtId="9" xfId="0" applyAlignment="1" applyBorder="1" applyFont="1" applyNumberFormat="1">
      <alignment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11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shrinkToFit="0" vertical="center" wrapText="1"/>
    </xf>
    <xf borderId="8" fillId="0" fontId="8" numFmtId="9" xfId="0" applyAlignment="1" applyBorder="1" applyFont="1" applyNumberFormat="1">
      <alignment shrinkToFit="0" vertical="center" wrapText="1"/>
    </xf>
    <xf borderId="12" fillId="0" fontId="8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shrinkToFit="0" vertical="center" wrapText="1"/>
    </xf>
    <xf borderId="12" fillId="0" fontId="10" numFmtId="9" xfId="0" applyAlignment="1" applyBorder="1" applyFont="1" applyNumberFormat="1">
      <alignment shrinkToFit="0" vertical="center" wrapText="1"/>
    </xf>
    <xf borderId="5" fillId="0" fontId="8" numFmtId="9" xfId="0" applyAlignment="1" applyBorder="1" applyFont="1" applyNumberFormat="1">
      <alignment shrinkToFit="0" vertical="center" wrapText="1"/>
    </xf>
    <xf borderId="5" fillId="0" fontId="10" numFmtId="9" xfId="0" applyAlignment="1" applyBorder="1" applyFont="1" applyNumberFormat="1">
      <alignment shrinkToFit="0" vertical="center" wrapText="1"/>
    </xf>
    <xf borderId="0" fillId="0" fontId="1" numFmtId="0" xfId="0" applyAlignment="1" applyFont="1">
      <alignment readingOrder="0"/>
    </xf>
    <xf borderId="5" fillId="0" fontId="10" numFmtId="0" xfId="0" applyAlignment="1" applyBorder="1" applyFont="1">
      <alignment readingOrder="0" shrinkToFit="0" vertical="center" wrapText="1"/>
    </xf>
    <xf borderId="18" fillId="0" fontId="8" numFmtId="9" xfId="0" applyAlignment="1" applyBorder="1" applyFont="1" applyNumberFormat="1">
      <alignment readingOrder="0" shrinkToFit="0" vertical="center" wrapText="1"/>
    </xf>
    <xf borderId="0" fillId="0" fontId="8" numFmtId="9" xfId="0" applyAlignment="1" applyFont="1" applyNumberFormat="1">
      <alignment readingOrder="0" shrinkToFit="0" vertical="center" wrapText="1"/>
    </xf>
    <xf borderId="14" fillId="0" fontId="8" numFmtId="0" xfId="0" applyAlignment="1" applyBorder="1" applyFont="1">
      <alignment shrinkToFit="0" vertical="center" wrapText="1"/>
    </xf>
    <xf borderId="0" fillId="0" fontId="8" numFmtId="9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wrapText="1"/>
    </xf>
    <xf borderId="19" fillId="5" fontId="10" numFmtId="0" xfId="0" applyAlignment="1" applyBorder="1" applyFill="1" applyFont="1">
      <alignment shrinkToFit="0" vertical="center" wrapText="1"/>
    </xf>
    <xf borderId="19" fillId="5" fontId="10" numFmtId="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3.86"/>
    <col customWidth="1" min="3" max="3" width="27.71"/>
    <col customWidth="1" min="4" max="4" width="36.57"/>
    <col customWidth="1" min="5" max="5" width="14.86"/>
    <col customWidth="1" min="6" max="6" width="19.29"/>
    <col customWidth="1" min="7" max="7" width="31.0"/>
    <col customWidth="1" min="8" max="8" width="36.57"/>
    <col customWidth="1" min="9" max="9" width="11.0"/>
    <col customWidth="1" min="10" max="10" width="24.14"/>
    <col customWidth="1" min="11" max="11" width="29.57"/>
    <col customWidth="1" min="12" max="12" width="26.71"/>
    <col customWidth="1" min="13" max="27" width="10.0"/>
  </cols>
  <sheetData>
    <row r="1" ht="12.75" customHeight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1"/>
      <c r="B2" s="3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>
      <c r="A4" s="1"/>
      <c r="B4" s="4" t="s">
        <v>1</v>
      </c>
      <c r="C4" s="5"/>
      <c r="D4" s="5"/>
      <c r="E4" s="1"/>
      <c r="F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7.25" customHeight="1">
      <c r="A5" s="1"/>
      <c r="B5" s="4" t="s">
        <v>2</v>
      </c>
      <c r="C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93.0" customHeight="1">
      <c r="A6" s="1"/>
      <c r="B6" s="4" t="s">
        <v>3</v>
      </c>
      <c r="C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"/>
      <c r="B7" s="4" t="s">
        <v>4</v>
      </c>
      <c r="C7" s="7"/>
      <c r="D7" s="8"/>
      <c r="E7" s="8"/>
      <c r="F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1"/>
      <c r="B8" s="4" t="s">
        <v>5</v>
      </c>
      <c r="C8" s="9">
        <v>3.0</v>
      </c>
      <c r="E8" s="10" t="s">
        <v>6</v>
      </c>
      <c r="F8" s="11">
        <f>C8*48/(D9+C9)</f>
        <v>24</v>
      </c>
      <c r="G8" s="10" t="s">
        <v>7</v>
      </c>
      <c r="H8" s="12">
        <f>(C8*48)-F8</f>
        <v>120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1"/>
      <c r="B9" s="4" t="s">
        <v>8</v>
      </c>
      <c r="C9" s="13">
        <v>1.0</v>
      </c>
      <c r="D9" s="13">
        <v>5.0</v>
      </c>
      <c r="G9" s="8"/>
      <c r="H9" s="8"/>
      <c r="I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A10" s="1"/>
      <c r="B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17.0" customHeight="1">
      <c r="A11" s="14" t="s">
        <v>9</v>
      </c>
      <c r="B11" s="15" t="s">
        <v>10</v>
      </c>
      <c r="C11" s="16" t="s">
        <v>11</v>
      </c>
      <c r="D11" s="15" t="s">
        <v>12</v>
      </c>
      <c r="E11" s="15" t="s">
        <v>13</v>
      </c>
      <c r="F11" s="15" t="s">
        <v>14</v>
      </c>
      <c r="G11" s="17" t="s">
        <v>15</v>
      </c>
      <c r="H11" s="18" t="s">
        <v>16</v>
      </c>
      <c r="I11" s="15" t="s">
        <v>17</v>
      </c>
      <c r="J11" s="15" t="s">
        <v>18</v>
      </c>
      <c r="K11" s="17" t="s">
        <v>19</v>
      </c>
      <c r="L11" s="18" t="s">
        <v>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87.0" customHeight="1">
      <c r="B12" s="19" t="s">
        <v>21</v>
      </c>
      <c r="C12" s="20"/>
      <c r="D12" s="21" t="s">
        <v>22</v>
      </c>
      <c r="E12" s="21">
        <v>12.0</v>
      </c>
      <c r="F12" s="21">
        <v>60.0</v>
      </c>
      <c r="G12" s="22" t="s">
        <v>23</v>
      </c>
      <c r="H12" s="23" t="s">
        <v>24</v>
      </c>
      <c r="I12" s="24"/>
      <c r="J12" s="21"/>
      <c r="K12" s="22" t="s">
        <v>25</v>
      </c>
      <c r="L12" s="25" t="s">
        <v>26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83.25" customHeight="1">
      <c r="B13" s="26" t="s">
        <v>27</v>
      </c>
      <c r="C13" s="27"/>
      <c r="D13" s="21" t="s">
        <v>28</v>
      </c>
      <c r="E13" s="21">
        <v>20.0</v>
      </c>
      <c r="F13" s="21">
        <v>100.0</v>
      </c>
      <c r="G13" s="22" t="s">
        <v>29</v>
      </c>
      <c r="H13" s="23" t="s">
        <v>30</v>
      </c>
      <c r="I13" s="24"/>
      <c r="J13" s="21" t="s">
        <v>28</v>
      </c>
      <c r="K13" s="22" t="s">
        <v>31</v>
      </c>
      <c r="L13" s="25" t="s">
        <v>32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78.0" customHeight="1">
      <c r="B14" s="26" t="s">
        <v>33</v>
      </c>
      <c r="C14" s="27"/>
      <c r="D14" s="21" t="s">
        <v>34</v>
      </c>
      <c r="E14" s="21">
        <v>20.0</v>
      </c>
      <c r="F14" s="21">
        <v>100.0</v>
      </c>
      <c r="G14" s="22" t="s">
        <v>35</v>
      </c>
      <c r="H14" s="23" t="s">
        <v>36</v>
      </c>
      <c r="I14" s="24"/>
      <c r="J14" s="21" t="s">
        <v>28</v>
      </c>
      <c r="K14" s="22" t="s">
        <v>37</v>
      </c>
      <c r="L14" s="25" t="s">
        <v>38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95.25" customHeight="1">
      <c r="B15" s="26" t="s">
        <v>39</v>
      </c>
      <c r="C15" s="28"/>
      <c r="D15" s="21" t="s">
        <v>40</v>
      </c>
      <c r="E15" s="21">
        <v>8.0</v>
      </c>
      <c r="F15" s="21">
        <v>40.0</v>
      </c>
      <c r="G15" s="22" t="s">
        <v>41</v>
      </c>
      <c r="H15" s="23" t="s">
        <v>42</v>
      </c>
      <c r="I15" s="24"/>
      <c r="J15" s="21"/>
      <c r="K15" s="22" t="s">
        <v>43</v>
      </c>
      <c r="L15" s="25" t="s">
        <v>44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72.0" customHeight="1">
      <c r="B16" s="26" t="s">
        <v>45</v>
      </c>
      <c r="C16" s="28"/>
      <c r="D16" s="21" t="s">
        <v>46</v>
      </c>
      <c r="E16" s="21">
        <v>50.0</v>
      </c>
      <c r="F16" s="21">
        <v>200.0</v>
      </c>
      <c r="G16" s="22" t="s">
        <v>47</v>
      </c>
      <c r="H16" s="23" t="s">
        <v>48</v>
      </c>
      <c r="I16" s="24"/>
      <c r="J16" s="21" t="s">
        <v>49</v>
      </c>
      <c r="K16" s="22"/>
      <c r="L16" s="25" t="s">
        <v>50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59.25" customHeight="1">
      <c r="B17" s="26" t="s">
        <v>51</v>
      </c>
      <c r="C17" s="28"/>
      <c r="D17" s="21" t="s">
        <v>52</v>
      </c>
      <c r="E17" s="21">
        <v>35.0</v>
      </c>
      <c r="F17" s="21">
        <v>140.0</v>
      </c>
      <c r="G17" s="22" t="s">
        <v>53</v>
      </c>
      <c r="H17" s="23" t="s">
        <v>54</v>
      </c>
      <c r="I17" s="24"/>
      <c r="J17" s="21" t="s">
        <v>55</v>
      </c>
      <c r="K17" s="22"/>
      <c r="L17" s="25" t="s">
        <v>56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54.75" customHeight="1">
      <c r="B18" s="29" t="s">
        <v>57</v>
      </c>
      <c r="C18" s="28"/>
      <c r="D18" s="30" t="s">
        <v>58</v>
      </c>
      <c r="E18" s="30">
        <v>25.0</v>
      </c>
      <c r="F18" s="21">
        <v>120.0</v>
      </c>
      <c r="G18" s="31" t="s">
        <v>59</v>
      </c>
      <c r="H18" s="23" t="s">
        <v>60</v>
      </c>
      <c r="I18" s="24"/>
      <c r="J18" s="30" t="s">
        <v>61</v>
      </c>
      <c r="K18" s="31"/>
      <c r="L18" s="25" t="s">
        <v>62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54.75" customHeight="1">
      <c r="B19" s="29" t="s">
        <v>63</v>
      </c>
      <c r="C19" s="28"/>
      <c r="D19" s="32" t="s">
        <v>64</v>
      </c>
      <c r="E19" s="21">
        <v>90.0</v>
      </c>
      <c r="F19" s="21">
        <v>300.0</v>
      </c>
      <c r="G19" s="33" t="s">
        <v>65</v>
      </c>
      <c r="H19" s="23" t="s">
        <v>66</v>
      </c>
      <c r="I19" s="24"/>
      <c r="J19" s="32" t="s">
        <v>67</v>
      </c>
      <c r="K19" s="33"/>
      <c r="L19" s="25" t="s">
        <v>68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54.75" customHeight="1">
      <c r="A20" s="34"/>
      <c r="B20" s="29" t="s">
        <v>69</v>
      </c>
      <c r="C20" s="28"/>
      <c r="D20" s="21" t="s">
        <v>70</v>
      </c>
      <c r="E20" s="21">
        <v>40.0</v>
      </c>
      <c r="F20" s="21">
        <v>180.0</v>
      </c>
      <c r="G20" s="31" t="s">
        <v>71</v>
      </c>
      <c r="H20" s="23" t="s">
        <v>72</v>
      </c>
      <c r="I20" s="24"/>
      <c r="J20" s="21" t="s">
        <v>73</v>
      </c>
      <c r="K20" s="22"/>
      <c r="L20" s="25" t="s">
        <v>74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58.5" customHeight="1">
      <c r="A21" s="1"/>
      <c r="B21" s="29" t="s">
        <v>75</v>
      </c>
      <c r="C21" s="35"/>
      <c r="D21" s="21" t="s">
        <v>76</v>
      </c>
      <c r="E21" s="21">
        <v>30.0</v>
      </c>
      <c r="F21" s="21">
        <v>150.0</v>
      </c>
      <c r="G21" s="22" t="s">
        <v>77</v>
      </c>
      <c r="H21" s="23" t="s">
        <v>78</v>
      </c>
      <c r="I21" s="36"/>
      <c r="J21" s="21" t="s">
        <v>79</v>
      </c>
      <c r="K21" s="22"/>
      <c r="L21" s="25" t="s">
        <v>80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48.75" customHeight="1">
      <c r="A22" s="1"/>
      <c r="B22" s="29" t="s">
        <v>81</v>
      </c>
      <c r="C22" s="28"/>
      <c r="D22" s="21" t="s">
        <v>82</v>
      </c>
      <c r="E22" s="21">
        <v>75.0</v>
      </c>
      <c r="F22" s="21">
        <v>240.0</v>
      </c>
      <c r="G22" s="22" t="s">
        <v>83</v>
      </c>
      <c r="H22" s="37" t="s">
        <v>84</v>
      </c>
      <c r="I22" s="38"/>
      <c r="J22" s="21" t="s">
        <v>85</v>
      </c>
      <c r="K22" s="22"/>
      <c r="L22" s="39" t="s">
        <v>86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49.5" customHeight="1">
      <c r="A23" s="1"/>
      <c r="B23" s="40"/>
      <c r="C23" s="41"/>
      <c r="D23" s="42"/>
      <c r="E23" s="43"/>
      <c r="F23" s="43"/>
      <c r="G23" s="43"/>
      <c r="H23" s="44"/>
      <c r="I23" s="45"/>
      <c r="J23" s="43"/>
      <c r="K23" s="4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49.5" customHeight="1">
      <c r="A24" s="1"/>
      <c r="B24" s="40"/>
      <c r="C24" s="41"/>
      <c r="D24" s="42"/>
      <c r="E24" s="43"/>
      <c r="F24" s="43"/>
      <c r="G24" s="46"/>
      <c r="H24" s="47"/>
      <c r="I24" s="45"/>
      <c r="J24" s="43"/>
      <c r="K24" s="4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49.5" customHeight="1">
      <c r="A25" s="1"/>
      <c r="B25" s="40"/>
      <c r="C25" s="48"/>
      <c r="D25" s="42" t="s">
        <v>87</v>
      </c>
      <c r="E25" s="42">
        <f t="shared" ref="E25:F25" si="1">SUM(E12:E24)</f>
        <v>405</v>
      </c>
      <c r="F25" s="42">
        <f t="shared" si="1"/>
        <v>1630</v>
      </c>
      <c r="G25" s="43"/>
      <c r="H25" s="42" t="s">
        <v>88</v>
      </c>
      <c r="I25" s="49">
        <f>SUM(I12:I24)</f>
        <v>0</v>
      </c>
      <c r="J25" s="50"/>
      <c r="K25" s="4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49.5" customHeight="1">
      <c r="A26" s="1"/>
      <c r="B26" s="40"/>
      <c r="C26" s="48"/>
      <c r="D26" s="42" t="s">
        <v>89</v>
      </c>
      <c r="E26" s="42">
        <f t="shared" ref="E26:F26" si="2">E25/60</f>
        <v>6.75</v>
      </c>
      <c r="F26" s="42">
        <f t="shared" si="2"/>
        <v>27.16666667</v>
      </c>
      <c r="G26" s="43"/>
      <c r="H26" s="42" t="s">
        <v>90</v>
      </c>
      <c r="I26" s="51">
        <v>0.2</v>
      </c>
      <c r="J26" s="50"/>
      <c r="K26" s="4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1"/>
      <c r="B27" s="40"/>
      <c r="C27" s="48"/>
      <c r="G27" s="43"/>
      <c r="H27" s="43"/>
      <c r="I27" s="50"/>
      <c r="J27" s="50"/>
      <c r="K27" s="4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67.5" customHeight="1">
      <c r="A28" s="14" t="s">
        <v>91</v>
      </c>
      <c r="B28" s="15" t="s">
        <v>10</v>
      </c>
      <c r="C28" s="15" t="s">
        <v>11</v>
      </c>
      <c r="D28" s="15" t="s">
        <v>12</v>
      </c>
      <c r="E28" s="15" t="s">
        <v>13</v>
      </c>
      <c r="F28" s="15" t="s">
        <v>14</v>
      </c>
      <c r="G28" s="17" t="s">
        <v>15</v>
      </c>
      <c r="H28" s="17" t="s">
        <v>16</v>
      </c>
      <c r="I28" s="15" t="s">
        <v>17</v>
      </c>
      <c r="J28" s="15" t="s">
        <v>92</v>
      </c>
      <c r="K28" s="17" t="s">
        <v>19</v>
      </c>
      <c r="L28" s="17" t="s">
        <v>20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67.5" customHeight="1">
      <c r="B29" s="29" t="s">
        <v>93</v>
      </c>
      <c r="C29" s="28" t="s">
        <v>94</v>
      </c>
      <c r="D29" s="21" t="s">
        <v>95</v>
      </c>
      <c r="E29" s="21">
        <v>60.0</v>
      </c>
      <c r="F29" s="21">
        <v>240.0</v>
      </c>
      <c r="G29" s="21" t="s">
        <v>96</v>
      </c>
      <c r="H29" s="21" t="s">
        <v>97</v>
      </c>
      <c r="I29" s="24">
        <v>0.03</v>
      </c>
      <c r="J29" s="21" t="s">
        <v>98</v>
      </c>
      <c r="K29" s="21" t="s">
        <v>99</v>
      </c>
      <c r="L29" s="52" t="s">
        <v>100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67.5" customHeight="1">
      <c r="B30" s="29" t="s">
        <v>101</v>
      </c>
      <c r="C30" s="28" t="s">
        <v>102</v>
      </c>
      <c r="D30" s="21" t="s">
        <v>103</v>
      </c>
      <c r="E30" s="21">
        <v>90.0</v>
      </c>
      <c r="F30" s="21">
        <v>300.0</v>
      </c>
      <c r="G30" s="21" t="s">
        <v>104</v>
      </c>
      <c r="H30" s="21" t="s">
        <v>105</v>
      </c>
      <c r="I30" s="24">
        <v>0.04</v>
      </c>
      <c r="J30" s="21" t="s">
        <v>106</v>
      </c>
      <c r="K30" s="21" t="s">
        <v>107</v>
      </c>
      <c r="L30" s="52" t="s">
        <v>100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67.5" customHeight="1">
      <c r="B31" s="29" t="s">
        <v>108</v>
      </c>
      <c r="C31" s="28" t="s">
        <v>94</v>
      </c>
      <c r="D31" s="21" t="s">
        <v>109</v>
      </c>
      <c r="E31" s="21">
        <v>45.0</v>
      </c>
      <c r="F31" s="21">
        <v>200.0</v>
      </c>
      <c r="G31" s="21" t="s">
        <v>110</v>
      </c>
      <c r="H31" s="21" t="s">
        <v>111</v>
      </c>
      <c r="I31" s="24">
        <v>0.03</v>
      </c>
      <c r="J31" s="21" t="s">
        <v>112</v>
      </c>
      <c r="K31" s="21" t="s">
        <v>113</v>
      </c>
      <c r="L31" s="52" t="s">
        <v>100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67.5" customHeight="1">
      <c r="B32" s="29" t="s">
        <v>114</v>
      </c>
      <c r="C32" s="28" t="s">
        <v>94</v>
      </c>
      <c r="D32" s="21" t="s">
        <v>46</v>
      </c>
      <c r="E32" s="21">
        <v>30.0</v>
      </c>
      <c r="F32" s="21">
        <v>150.0</v>
      </c>
      <c r="G32" s="21" t="s">
        <v>115</v>
      </c>
      <c r="H32" s="21" t="s">
        <v>116</v>
      </c>
      <c r="I32" s="24">
        <v>0.02</v>
      </c>
      <c r="J32" s="21" t="s">
        <v>117</v>
      </c>
      <c r="K32" s="21" t="s">
        <v>118</v>
      </c>
      <c r="L32" s="52" t="s">
        <v>100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67.5" customHeight="1">
      <c r="B33" s="29" t="s">
        <v>119</v>
      </c>
      <c r="C33" s="28" t="s">
        <v>94</v>
      </c>
      <c r="D33" s="21" t="s">
        <v>120</v>
      </c>
      <c r="E33" s="21">
        <v>50.0</v>
      </c>
      <c r="F33" s="21">
        <v>220.0</v>
      </c>
      <c r="G33" s="21" t="s">
        <v>121</v>
      </c>
      <c r="H33" s="21" t="s">
        <v>122</v>
      </c>
      <c r="I33" s="24">
        <v>0.03</v>
      </c>
      <c r="J33" s="21" t="s">
        <v>123</v>
      </c>
      <c r="K33" s="21" t="s">
        <v>124</v>
      </c>
      <c r="L33" s="52" t="s">
        <v>100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67.5" customHeight="1">
      <c r="B34" s="29" t="s">
        <v>125</v>
      </c>
      <c r="C34" s="28" t="s">
        <v>102</v>
      </c>
      <c r="D34" s="21" t="s">
        <v>126</v>
      </c>
      <c r="E34" s="21">
        <v>75.0</v>
      </c>
      <c r="F34" s="21">
        <v>280.0</v>
      </c>
      <c r="G34" s="21" t="s">
        <v>127</v>
      </c>
      <c r="H34" s="21" t="s">
        <v>128</v>
      </c>
      <c r="I34" s="24">
        <v>0.04</v>
      </c>
      <c r="J34" s="21" t="s">
        <v>129</v>
      </c>
      <c r="K34" s="21" t="s">
        <v>130</v>
      </c>
      <c r="L34" s="52" t="s">
        <v>100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67.5" customHeight="1">
      <c r="B35" s="29" t="s">
        <v>131</v>
      </c>
      <c r="C35" s="28" t="s">
        <v>94</v>
      </c>
      <c r="D35" s="30" t="s">
        <v>132</v>
      </c>
      <c r="E35" s="30">
        <v>35.0</v>
      </c>
      <c r="F35" s="21">
        <v>160.0</v>
      </c>
      <c r="G35" s="32" t="s">
        <v>133</v>
      </c>
      <c r="H35" s="30" t="s">
        <v>134</v>
      </c>
      <c r="I35" s="24">
        <v>0.02</v>
      </c>
      <c r="J35" s="30" t="s">
        <v>135</v>
      </c>
      <c r="K35" s="30" t="s">
        <v>136</v>
      </c>
      <c r="L35" s="52" t="s">
        <v>100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67.5" customHeight="1">
      <c r="B36" s="29" t="s">
        <v>137</v>
      </c>
      <c r="C36" s="28" t="s">
        <v>94</v>
      </c>
      <c r="D36" s="32" t="s">
        <v>138</v>
      </c>
      <c r="E36" s="21">
        <v>40.0</v>
      </c>
      <c r="F36" s="21">
        <v>180.0</v>
      </c>
      <c r="G36" s="32" t="s">
        <v>139</v>
      </c>
      <c r="H36" s="32" t="s">
        <v>140</v>
      </c>
      <c r="I36" s="24">
        <v>0.03</v>
      </c>
      <c r="J36" s="32" t="s">
        <v>141</v>
      </c>
      <c r="K36" s="32" t="s">
        <v>142</v>
      </c>
      <c r="L36" s="52" t="s">
        <v>100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67.5" customHeight="1">
      <c r="B37" s="29" t="s">
        <v>143</v>
      </c>
      <c r="C37" s="28" t="s">
        <v>94</v>
      </c>
      <c r="D37" s="21" t="s">
        <v>144</v>
      </c>
      <c r="E37" s="21">
        <v>45.0</v>
      </c>
      <c r="F37" s="21">
        <v>200.0</v>
      </c>
      <c r="G37" s="32" t="s">
        <v>145</v>
      </c>
      <c r="H37" s="21" t="s">
        <v>146</v>
      </c>
      <c r="I37" s="24">
        <v>0.03</v>
      </c>
      <c r="J37" s="21" t="s">
        <v>112</v>
      </c>
      <c r="K37" s="21" t="s">
        <v>147</v>
      </c>
      <c r="L37" s="52" t="s">
        <v>100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67.5" customHeight="1">
      <c r="B38" s="29" t="s">
        <v>148</v>
      </c>
      <c r="C38" s="35" t="s">
        <v>102</v>
      </c>
      <c r="D38" s="21" t="s">
        <v>149</v>
      </c>
      <c r="E38" s="21">
        <v>90.0</v>
      </c>
      <c r="F38" s="21">
        <v>320.0</v>
      </c>
      <c r="G38" s="29" t="s">
        <v>150</v>
      </c>
      <c r="H38" s="21" t="s">
        <v>151</v>
      </c>
      <c r="I38" s="24">
        <v>0.04</v>
      </c>
      <c r="J38" s="21" t="s">
        <v>152</v>
      </c>
      <c r="K38" s="21" t="s">
        <v>153</v>
      </c>
      <c r="L38" s="52" t="s">
        <v>100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67.5" customHeight="1">
      <c r="B39" s="29" t="s">
        <v>154</v>
      </c>
      <c r="C39" s="28" t="s">
        <v>94</v>
      </c>
      <c r="D39" s="53" t="s">
        <v>155</v>
      </c>
      <c r="E39" s="21">
        <v>60.0</v>
      </c>
      <c r="F39" s="21">
        <v>280.0</v>
      </c>
      <c r="G39" s="21" t="s">
        <v>156</v>
      </c>
      <c r="H39" s="21" t="s">
        <v>157</v>
      </c>
      <c r="I39" s="54">
        <v>0.04</v>
      </c>
      <c r="J39" s="21" t="s">
        <v>158</v>
      </c>
      <c r="K39" s="21" t="s">
        <v>159</v>
      </c>
      <c r="L39" s="52" t="s">
        <v>100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67.5" customHeight="1">
      <c r="A40" s="14"/>
      <c r="B40" s="29" t="s">
        <v>160</v>
      </c>
      <c r="C40" s="28" t="s">
        <v>94</v>
      </c>
      <c r="D40" s="53" t="s">
        <v>161</v>
      </c>
      <c r="E40" s="21">
        <v>30.0</v>
      </c>
      <c r="F40" s="21">
        <v>150.0</v>
      </c>
      <c r="G40" s="21" t="s">
        <v>162</v>
      </c>
      <c r="H40" s="21" t="s">
        <v>163</v>
      </c>
      <c r="I40" s="55">
        <v>0.02</v>
      </c>
      <c r="J40" s="21" t="s">
        <v>164</v>
      </c>
      <c r="K40" s="21" t="s">
        <v>165</v>
      </c>
      <c r="L40" s="52" t="s">
        <v>100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67.5" customHeight="1">
      <c r="A41" s="14"/>
      <c r="B41" s="40"/>
      <c r="C41" s="41"/>
      <c r="D41" s="42"/>
      <c r="E41" s="43"/>
      <c r="F41" s="43"/>
      <c r="G41" s="56"/>
      <c r="H41" s="43"/>
      <c r="I41" s="57"/>
      <c r="J41" s="43"/>
      <c r="K41" s="4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67.5" customHeight="1">
      <c r="A42" s="14"/>
      <c r="B42" s="58"/>
      <c r="C42" s="48"/>
      <c r="D42" s="42" t="s">
        <v>166</v>
      </c>
      <c r="E42" s="42">
        <f t="shared" ref="E42:F42" si="3">SUM(E29:E41)</f>
        <v>650</v>
      </c>
      <c r="F42" s="42">
        <f t="shared" si="3"/>
        <v>2680</v>
      </c>
      <c r="G42" s="43"/>
      <c r="H42" s="42" t="s">
        <v>167</v>
      </c>
      <c r="I42" s="51">
        <f>SUM(I29:I41)</f>
        <v>0.37</v>
      </c>
      <c r="J42" s="50"/>
      <c r="K42" s="4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54.0" customHeight="1">
      <c r="A43" s="14"/>
      <c r="B43" s="58"/>
      <c r="C43" s="48"/>
      <c r="D43" s="42" t="s">
        <v>168</v>
      </c>
      <c r="E43" s="42">
        <f t="shared" ref="E43:F43" si="4">E42/60</f>
        <v>10.83333333</v>
      </c>
      <c r="F43" s="42">
        <f t="shared" si="4"/>
        <v>44.66666667</v>
      </c>
      <c r="G43" s="43"/>
      <c r="H43" s="42" t="s">
        <v>169</v>
      </c>
      <c r="I43" s="51">
        <v>0.2</v>
      </c>
      <c r="J43" s="50"/>
      <c r="K43" s="4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50.25" customHeight="1">
      <c r="A45" s="34" t="s">
        <v>170</v>
      </c>
      <c r="B45" s="15" t="s">
        <v>171</v>
      </c>
      <c r="C45" s="15" t="s">
        <v>11</v>
      </c>
      <c r="D45" s="15" t="s">
        <v>12</v>
      </c>
      <c r="E45" s="15" t="s">
        <v>13</v>
      </c>
      <c r="F45" s="15" t="s">
        <v>14</v>
      </c>
      <c r="G45" s="17" t="s">
        <v>15</v>
      </c>
      <c r="H45" s="17" t="s">
        <v>16</v>
      </c>
      <c r="I45" s="15" t="s">
        <v>17</v>
      </c>
      <c r="J45" s="15" t="s">
        <v>92</v>
      </c>
      <c r="K45" s="17" t="s">
        <v>19</v>
      </c>
      <c r="L45" s="17" t="s">
        <v>20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49.5" customHeight="1">
      <c r="B46" s="29" t="s">
        <v>172</v>
      </c>
      <c r="C46" s="28" t="s">
        <v>94</v>
      </c>
      <c r="D46" s="21" t="s">
        <v>76</v>
      </c>
      <c r="E46" s="21">
        <v>45.0</v>
      </c>
      <c r="F46" s="21">
        <v>200.0</v>
      </c>
      <c r="G46" s="21" t="s">
        <v>173</v>
      </c>
      <c r="H46" s="21" t="s">
        <v>174</v>
      </c>
      <c r="I46" s="24">
        <v>0.03</v>
      </c>
      <c r="J46" s="21" t="s">
        <v>175</v>
      </c>
      <c r="K46" s="21" t="s">
        <v>176</v>
      </c>
      <c r="L46" s="52" t="s">
        <v>177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45.75" customHeight="1">
      <c r="B47" s="29" t="s">
        <v>178</v>
      </c>
      <c r="C47" s="28" t="s">
        <v>102</v>
      </c>
      <c r="D47" s="21" t="s">
        <v>103</v>
      </c>
      <c r="E47" s="21">
        <v>90.0</v>
      </c>
      <c r="F47" s="21">
        <v>320.0</v>
      </c>
      <c r="G47" s="21" t="s">
        <v>179</v>
      </c>
      <c r="H47" s="21" t="s">
        <v>180</v>
      </c>
      <c r="I47" s="24">
        <v>0.04</v>
      </c>
      <c r="J47" s="21" t="s">
        <v>181</v>
      </c>
      <c r="K47" s="21" t="s">
        <v>182</v>
      </c>
      <c r="L47" s="52" t="s">
        <v>177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39.75" customHeight="1">
      <c r="B48" s="29" t="s">
        <v>183</v>
      </c>
      <c r="C48" s="28" t="s">
        <v>94</v>
      </c>
      <c r="D48" s="21" t="s">
        <v>46</v>
      </c>
      <c r="E48" s="21">
        <v>60.0</v>
      </c>
      <c r="F48" s="21">
        <v>260.0</v>
      </c>
      <c r="G48" s="21" t="s">
        <v>184</v>
      </c>
      <c r="H48" s="21" t="s">
        <v>185</v>
      </c>
      <c r="I48" s="24">
        <v>0.04</v>
      </c>
      <c r="J48" s="21" t="s">
        <v>186</v>
      </c>
      <c r="K48" s="21" t="s">
        <v>187</v>
      </c>
      <c r="L48" s="52" t="s">
        <v>177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39.75" customHeight="1">
      <c r="B49" s="29" t="s">
        <v>188</v>
      </c>
      <c r="C49" s="28" t="s">
        <v>94</v>
      </c>
      <c r="D49" s="21" t="s">
        <v>155</v>
      </c>
      <c r="E49" s="21">
        <v>75.0</v>
      </c>
      <c r="F49" s="21">
        <v>300.0</v>
      </c>
      <c r="G49" s="21" t="s">
        <v>189</v>
      </c>
      <c r="H49" s="21" t="s">
        <v>190</v>
      </c>
      <c r="I49" s="24">
        <v>0.04</v>
      </c>
      <c r="J49" s="21" t="s">
        <v>191</v>
      </c>
      <c r="K49" s="21" t="s">
        <v>192</v>
      </c>
      <c r="L49" s="52" t="s">
        <v>177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55.5" customHeight="1">
      <c r="B50" s="29" t="s">
        <v>193</v>
      </c>
      <c r="C50" s="28" t="s">
        <v>102</v>
      </c>
      <c r="D50" s="21" t="s">
        <v>64</v>
      </c>
      <c r="E50" s="21">
        <v>90.0</v>
      </c>
      <c r="F50" s="21">
        <v>320.0</v>
      </c>
      <c r="G50" s="21" t="s">
        <v>194</v>
      </c>
      <c r="H50" s="21" t="s">
        <v>195</v>
      </c>
      <c r="I50" s="24">
        <v>0.04</v>
      </c>
      <c r="J50" s="21" t="s">
        <v>196</v>
      </c>
      <c r="K50" s="21" t="s">
        <v>197</v>
      </c>
      <c r="L50" s="52" t="s">
        <v>177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39.75" customHeight="1">
      <c r="B51" s="29" t="s">
        <v>198</v>
      </c>
      <c r="C51" s="28" t="s">
        <v>94</v>
      </c>
      <c r="D51" s="21" t="s">
        <v>199</v>
      </c>
      <c r="E51" s="21">
        <v>60.0</v>
      </c>
      <c r="F51" s="21">
        <v>280.0</v>
      </c>
      <c r="G51" s="21" t="s">
        <v>200</v>
      </c>
      <c r="H51" s="21" t="s">
        <v>201</v>
      </c>
      <c r="I51" s="24">
        <v>0.04</v>
      </c>
      <c r="J51" s="21" t="s">
        <v>202</v>
      </c>
      <c r="K51" s="21" t="s">
        <v>203</v>
      </c>
      <c r="L51" s="52" t="s">
        <v>177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51.75" customHeight="1">
      <c r="B52" s="29" t="s">
        <v>204</v>
      </c>
      <c r="C52" s="28" t="s">
        <v>94</v>
      </c>
      <c r="D52" s="30" t="s">
        <v>205</v>
      </c>
      <c r="E52" s="30">
        <v>50.0</v>
      </c>
      <c r="F52" s="21">
        <v>240.0</v>
      </c>
      <c r="G52" s="21" t="s">
        <v>206</v>
      </c>
      <c r="H52" s="30" t="s">
        <v>207</v>
      </c>
      <c r="I52" s="24">
        <v>0.03</v>
      </c>
      <c r="J52" s="30" t="s">
        <v>208</v>
      </c>
      <c r="K52" s="30" t="s">
        <v>209</v>
      </c>
      <c r="L52" s="52" t="s">
        <v>177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51.75" customHeight="1">
      <c r="B53" s="29" t="s">
        <v>210</v>
      </c>
      <c r="C53" s="28" t="s">
        <v>94</v>
      </c>
      <c r="D53" s="32" t="s">
        <v>211</v>
      </c>
      <c r="E53" s="21">
        <v>45.0</v>
      </c>
      <c r="F53" s="21">
        <v>220.0</v>
      </c>
      <c r="G53" s="21" t="s">
        <v>212</v>
      </c>
      <c r="H53" s="32" t="s">
        <v>213</v>
      </c>
      <c r="I53" s="24">
        <v>0.03</v>
      </c>
      <c r="J53" s="32" t="s">
        <v>214</v>
      </c>
      <c r="K53" s="32" t="s">
        <v>215</v>
      </c>
      <c r="L53" s="52" t="s">
        <v>177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39.75" customHeight="1">
      <c r="B54" s="29" t="s">
        <v>216</v>
      </c>
      <c r="C54" s="28" t="s">
        <v>102</v>
      </c>
      <c r="D54" s="21" t="s">
        <v>217</v>
      </c>
      <c r="E54" s="21">
        <v>75.0</v>
      </c>
      <c r="F54" s="21">
        <v>280.0</v>
      </c>
      <c r="G54" s="21" t="s">
        <v>218</v>
      </c>
      <c r="H54" s="21" t="s">
        <v>219</v>
      </c>
      <c r="I54" s="24">
        <v>0.04</v>
      </c>
      <c r="J54" s="21" t="s">
        <v>220</v>
      </c>
      <c r="K54" s="21" t="s">
        <v>221</v>
      </c>
      <c r="L54" s="52" t="s">
        <v>177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47.25" customHeight="1">
      <c r="B55" s="29" t="s">
        <v>222</v>
      </c>
      <c r="C55" s="35" t="s">
        <v>94</v>
      </c>
      <c r="D55" s="21" t="s">
        <v>58</v>
      </c>
      <c r="E55" s="21">
        <v>40.0</v>
      </c>
      <c r="F55" s="21">
        <v>200.0</v>
      </c>
      <c r="G55" s="29" t="s">
        <v>223</v>
      </c>
      <c r="H55" s="21" t="s">
        <v>224</v>
      </c>
      <c r="I55" s="24">
        <v>0.03</v>
      </c>
      <c r="J55" s="21" t="s">
        <v>225</v>
      </c>
      <c r="K55" s="21" t="s">
        <v>226</v>
      </c>
      <c r="L55" s="52" t="s">
        <v>177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57.0" customHeight="1">
      <c r="B56" s="29" t="s">
        <v>227</v>
      </c>
      <c r="C56" s="28" t="s">
        <v>94</v>
      </c>
      <c r="D56" s="53" t="s">
        <v>228</v>
      </c>
      <c r="E56" s="21">
        <v>60.0</v>
      </c>
      <c r="F56" s="21">
        <v>280.0</v>
      </c>
      <c r="G56" s="21" t="s">
        <v>229</v>
      </c>
      <c r="H56" s="21" t="s">
        <v>230</v>
      </c>
      <c r="I56" s="54">
        <v>0.04</v>
      </c>
      <c r="J56" s="21" t="s">
        <v>231</v>
      </c>
      <c r="K56" s="21" t="s">
        <v>232</v>
      </c>
      <c r="L56" s="52" t="s">
        <v>177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51.0" customHeight="1">
      <c r="A57" s="34"/>
      <c r="B57" s="29" t="s">
        <v>233</v>
      </c>
      <c r="C57" s="28" t="s">
        <v>102</v>
      </c>
      <c r="D57" s="53" t="s">
        <v>234</v>
      </c>
      <c r="E57" s="21">
        <v>90.0</v>
      </c>
      <c r="F57" s="21">
        <v>360.0</v>
      </c>
      <c r="G57" s="21" t="s">
        <v>235</v>
      </c>
      <c r="H57" s="21" t="s">
        <v>236</v>
      </c>
      <c r="I57" s="55">
        <v>0.05</v>
      </c>
      <c r="J57" s="21" t="s">
        <v>237</v>
      </c>
      <c r="K57" s="21" t="s">
        <v>238</v>
      </c>
      <c r="L57" s="52" t="s">
        <v>239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66.0" customHeight="1">
      <c r="A58" s="34"/>
      <c r="B58" s="40"/>
      <c r="C58" s="41"/>
      <c r="D58" s="42"/>
      <c r="E58" s="43"/>
      <c r="F58" s="43"/>
      <c r="G58" s="40"/>
      <c r="H58" s="43"/>
      <c r="I58" s="57"/>
      <c r="J58" s="43"/>
      <c r="K58" s="4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39.75" customHeight="1">
      <c r="A59" s="34"/>
      <c r="B59" s="40"/>
      <c r="C59" s="48"/>
      <c r="D59" s="42" t="s">
        <v>240</v>
      </c>
      <c r="E59" s="42">
        <f t="shared" ref="E59:F59" si="5">SUM(E46:E58)</f>
        <v>780</v>
      </c>
      <c r="F59" s="42">
        <f t="shared" si="5"/>
        <v>3260</v>
      </c>
      <c r="G59" s="43"/>
      <c r="H59" s="42" t="s">
        <v>241</v>
      </c>
      <c r="I59" s="51">
        <f>SUM(I46:I58)</f>
        <v>0.45</v>
      </c>
      <c r="J59" s="50"/>
      <c r="K59" s="4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39.75" customHeight="1">
      <c r="A60" s="34"/>
      <c r="B60" s="40"/>
      <c r="C60" s="48"/>
      <c r="D60" s="42" t="s">
        <v>242</v>
      </c>
      <c r="E60" s="42">
        <f t="shared" ref="E60:F60" si="6">E59/60</f>
        <v>13</v>
      </c>
      <c r="F60" s="42">
        <f t="shared" si="6"/>
        <v>54.33333333</v>
      </c>
      <c r="G60" s="43"/>
      <c r="H60" s="42" t="s">
        <v>243</v>
      </c>
      <c r="I60" s="51">
        <v>0.2</v>
      </c>
      <c r="J60" s="50"/>
      <c r="K60" s="4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2"/>
      <c r="C61" s="2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63.0" customHeight="1">
      <c r="A62" s="34" t="s">
        <v>244</v>
      </c>
      <c r="B62" s="15" t="s">
        <v>171</v>
      </c>
      <c r="C62" s="15" t="s">
        <v>11</v>
      </c>
      <c r="D62" s="15" t="s">
        <v>12</v>
      </c>
      <c r="E62" s="15" t="s">
        <v>13</v>
      </c>
      <c r="F62" s="15" t="s">
        <v>14</v>
      </c>
      <c r="G62" s="17" t="s">
        <v>15</v>
      </c>
      <c r="H62" s="17" t="s">
        <v>16</v>
      </c>
      <c r="I62" s="15" t="s">
        <v>17</v>
      </c>
      <c r="J62" s="15" t="s">
        <v>92</v>
      </c>
      <c r="K62" s="17" t="s">
        <v>19</v>
      </c>
      <c r="L62" s="17" t="s">
        <v>20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35.25" customHeight="1">
      <c r="B63" s="29" t="s">
        <v>245</v>
      </c>
      <c r="C63" s="28" t="s">
        <v>94</v>
      </c>
      <c r="D63" s="21" t="s">
        <v>246</v>
      </c>
      <c r="E63" s="21">
        <v>60.0</v>
      </c>
      <c r="F63" s="21">
        <v>240.0</v>
      </c>
      <c r="G63" s="21" t="s">
        <v>247</v>
      </c>
      <c r="H63" s="21" t="s">
        <v>248</v>
      </c>
      <c r="I63" s="24">
        <v>0.04</v>
      </c>
      <c r="J63" s="21" t="s">
        <v>249</v>
      </c>
      <c r="K63" s="21" t="s">
        <v>250</v>
      </c>
      <c r="L63" s="52" t="s">
        <v>251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35.25" customHeight="1">
      <c r="B64" s="29" t="s">
        <v>252</v>
      </c>
      <c r="C64" s="28" t="s">
        <v>102</v>
      </c>
      <c r="D64" s="21" t="s">
        <v>253</v>
      </c>
      <c r="E64" s="21">
        <v>90.0</v>
      </c>
      <c r="F64" s="21">
        <v>320.0</v>
      </c>
      <c r="G64" s="21" t="s">
        <v>254</v>
      </c>
      <c r="H64" s="21" t="s">
        <v>255</v>
      </c>
      <c r="I64" s="24">
        <v>0.04</v>
      </c>
      <c r="J64" s="21" t="s">
        <v>256</v>
      </c>
      <c r="K64" s="21" t="s">
        <v>257</v>
      </c>
      <c r="L64" s="52" t="s">
        <v>251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35.25" customHeight="1">
      <c r="B65" s="29" t="s">
        <v>258</v>
      </c>
      <c r="C65" s="28" t="s">
        <v>94</v>
      </c>
      <c r="D65" s="21" t="s">
        <v>95</v>
      </c>
      <c r="E65" s="21">
        <v>75.0</v>
      </c>
      <c r="F65" s="21">
        <v>300.0</v>
      </c>
      <c r="G65" s="21" t="s">
        <v>259</v>
      </c>
      <c r="H65" s="21" t="s">
        <v>260</v>
      </c>
      <c r="I65" s="24">
        <v>0.04</v>
      </c>
      <c r="J65" s="21" t="s">
        <v>261</v>
      </c>
      <c r="K65" s="21" t="s">
        <v>262</v>
      </c>
      <c r="L65" s="52" t="s">
        <v>239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35.25" customHeight="1">
      <c r="B66" s="29" t="s">
        <v>263</v>
      </c>
      <c r="C66" s="28" t="s">
        <v>94</v>
      </c>
      <c r="D66" s="21" t="s">
        <v>155</v>
      </c>
      <c r="E66" s="21">
        <v>80.0</v>
      </c>
      <c r="F66" s="21">
        <v>320.0</v>
      </c>
      <c r="G66" s="21" t="s">
        <v>264</v>
      </c>
      <c r="H66" s="21" t="s">
        <v>265</v>
      </c>
      <c r="I66" s="24">
        <v>0.05</v>
      </c>
      <c r="J66" s="21" t="s">
        <v>266</v>
      </c>
      <c r="K66" s="21" t="s">
        <v>267</v>
      </c>
      <c r="L66" s="52" t="s">
        <v>86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35.25" customHeight="1">
      <c r="B67" s="29" t="s">
        <v>268</v>
      </c>
      <c r="C67" s="28" t="s">
        <v>94</v>
      </c>
      <c r="D67" s="21" t="s">
        <v>269</v>
      </c>
      <c r="E67" s="21">
        <v>45.0</v>
      </c>
      <c r="F67" s="21">
        <v>200.0</v>
      </c>
      <c r="G67" s="21" t="s">
        <v>270</v>
      </c>
      <c r="H67" s="21" t="s">
        <v>271</v>
      </c>
      <c r="I67" s="24">
        <v>0.03</v>
      </c>
      <c r="J67" s="21" t="s">
        <v>272</v>
      </c>
      <c r="K67" s="21" t="s">
        <v>273</v>
      </c>
      <c r="L67" s="52" t="s">
        <v>251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35.25" customHeight="1">
      <c r="B68" s="29" t="s">
        <v>274</v>
      </c>
      <c r="C68" s="28" t="s">
        <v>102</v>
      </c>
      <c r="D68" s="21" t="s">
        <v>275</v>
      </c>
      <c r="E68" s="21">
        <v>90.0</v>
      </c>
      <c r="F68" s="21">
        <v>340.0</v>
      </c>
      <c r="G68" s="21" t="s">
        <v>276</v>
      </c>
      <c r="H68" s="21" t="s">
        <v>277</v>
      </c>
      <c r="I68" s="24">
        <v>0.05</v>
      </c>
      <c r="J68" s="21" t="s">
        <v>278</v>
      </c>
      <c r="K68" s="21" t="s">
        <v>279</v>
      </c>
      <c r="L68" s="52" t="s">
        <v>280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35.25" customHeight="1">
      <c r="B69" s="29" t="s">
        <v>281</v>
      </c>
      <c r="C69" s="28" t="s">
        <v>94</v>
      </c>
      <c r="D69" s="30" t="s">
        <v>282</v>
      </c>
      <c r="E69" s="30">
        <v>60.0</v>
      </c>
      <c r="F69" s="21">
        <v>280.0</v>
      </c>
      <c r="G69" s="21" t="s">
        <v>283</v>
      </c>
      <c r="H69" s="30" t="s">
        <v>284</v>
      </c>
      <c r="I69" s="24">
        <v>0.04</v>
      </c>
      <c r="J69" s="30" t="s">
        <v>285</v>
      </c>
      <c r="K69" s="30" t="s">
        <v>286</v>
      </c>
      <c r="L69" s="52" t="s">
        <v>239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35.25" customHeight="1">
      <c r="B70" s="29" t="s">
        <v>287</v>
      </c>
      <c r="C70" s="28" t="s">
        <v>94</v>
      </c>
      <c r="D70" s="32" t="s">
        <v>288</v>
      </c>
      <c r="E70" s="21">
        <v>40.0</v>
      </c>
      <c r="F70" s="21">
        <v>180.0</v>
      </c>
      <c r="G70" s="21" t="s">
        <v>289</v>
      </c>
      <c r="H70" s="32" t="s">
        <v>290</v>
      </c>
      <c r="I70" s="24">
        <v>0.03</v>
      </c>
      <c r="J70" s="32" t="s">
        <v>291</v>
      </c>
      <c r="K70" s="32" t="s">
        <v>292</v>
      </c>
      <c r="L70" s="52" t="s">
        <v>86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35.25" customHeight="1">
      <c r="B71" s="29" t="s">
        <v>293</v>
      </c>
      <c r="C71" s="28" t="s">
        <v>94</v>
      </c>
      <c r="D71" s="21" t="s">
        <v>294</v>
      </c>
      <c r="E71" s="21">
        <v>50.0</v>
      </c>
      <c r="F71" s="21">
        <v>220.0</v>
      </c>
      <c r="G71" s="21" t="s">
        <v>295</v>
      </c>
      <c r="H71" s="21" t="s">
        <v>296</v>
      </c>
      <c r="I71" s="24">
        <v>0.03</v>
      </c>
      <c r="J71" s="21" t="s">
        <v>297</v>
      </c>
      <c r="K71" s="21" t="s">
        <v>298</v>
      </c>
      <c r="L71" s="52" t="s">
        <v>251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35.25" customHeight="1">
      <c r="B72" s="29" t="s">
        <v>299</v>
      </c>
      <c r="C72" s="35" t="s">
        <v>102</v>
      </c>
      <c r="D72" s="21" t="s">
        <v>300</v>
      </c>
      <c r="E72" s="21">
        <v>120.0</v>
      </c>
      <c r="F72" s="21">
        <v>400.0</v>
      </c>
      <c r="G72" s="29" t="s">
        <v>301</v>
      </c>
      <c r="H72" s="21" t="s">
        <v>302</v>
      </c>
      <c r="I72" s="24">
        <v>0.05</v>
      </c>
      <c r="J72" s="21" t="s">
        <v>303</v>
      </c>
      <c r="K72" s="21" t="s">
        <v>304</v>
      </c>
      <c r="L72" s="52" t="s">
        <v>251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56.25" customHeight="1">
      <c r="B73" s="29" t="s">
        <v>305</v>
      </c>
      <c r="C73" s="28" t="s">
        <v>94</v>
      </c>
      <c r="D73" s="53" t="s">
        <v>306</v>
      </c>
      <c r="E73" s="21">
        <v>45.0</v>
      </c>
      <c r="F73" s="21">
        <v>200.0</v>
      </c>
      <c r="G73" s="21" t="s">
        <v>307</v>
      </c>
      <c r="H73" s="21" t="s">
        <v>308</v>
      </c>
      <c r="I73" s="54">
        <v>0.03</v>
      </c>
      <c r="J73" s="21" t="s">
        <v>309</v>
      </c>
      <c r="K73" s="21" t="s">
        <v>310</v>
      </c>
      <c r="L73" s="52" t="s">
        <v>86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60.75" customHeight="1">
      <c r="A74" s="34"/>
      <c r="B74" s="29" t="s">
        <v>311</v>
      </c>
      <c r="C74" s="28" t="s">
        <v>94</v>
      </c>
      <c r="D74" s="53" t="s">
        <v>312</v>
      </c>
      <c r="E74" s="21">
        <v>55.0</v>
      </c>
      <c r="F74" s="21">
        <v>240.0</v>
      </c>
      <c r="G74" s="21" t="s">
        <v>313</v>
      </c>
      <c r="H74" s="21" t="s">
        <v>314</v>
      </c>
      <c r="I74" s="55">
        <v>0.04</v>
      </c>
      <c r="J74" s="21" t="s">
        <v>315</v>
      </c>
      <c r="K74" s="21" t="s">
        <v>316</v>
      </c>
      <c r="L74" s="52" t="s">
        <v>251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60.0" customHeight="1">
      <c r="A75" s="34"/>
      <c r="B75" s="40"/>
      <c r="C75" s="41"/>
      <c r="D75" s="42"/>
      <c r="E75" s="43"/>
      <c r="F75" s="43"/>
      <c r="G75" s="43"/>
      <c r="H75" s="43"/>
      <c r="I75" s="57"/>
      <c r="J75" s="43"/>
      <c r="K75" s="4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35.25" customHeight="1">
      <c r="A76" s="34"/>
      <c r="B76" s="40"/>
      <c r="C76" s="48"/>
      <c r="D76" s="42" t="s">
        <v>317</v>
      </c>
      <c r="E76" s="42">
        <f t="shared" ref="E76:F76" si="7">SUM(E63:E75)</f>
        <v>810</v>
      </c>
      <c r="F76" s="42">
        <f t="shared" si="7"/>
        <v>3240</v>
      </c>
      <c r="G76" s="43"/>
      <c r="H76" s="42" t="s">
        <v>318</v>
      </c>
      <c r="I76" s="51">
        <f>SUM(I63:I75)</f>
        <v>0.47</v>
      </c>
      <c r="J76" s="50"/>
      <c r="K76" s="4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35.25" customHeight="1">
      <c r="A77" s="1"/>
      <c r="B77" s="40"/>
      <c r="C77" s="48"/>
      <c r="D77" s="42" t="s">
        <v>319</v>
      </c>
      <c r="E77" s="42">
        <f t="shared" ref="E77:F77" si="8">E76/60</f>
        <v>13.5</v>
      </c>
      <c r="F77" s="42">
        <f t="shared" si="8"/>
        <v>54</v>
      </c>
      <c r="G77" s="43"/>
      <c r="H77" s="42" t="s">
        <v>320</v>
      </c>
      <c r="I77" s="51">
        <v>0.2</v>
      </c>
      <c r="J77" s="50"/>
      <c r="K77" s="4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2"/>
      <c r="C78" s="2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68.25" customHeight="1">
      <c r="A79" s="34" t="s">
        <v>321</v>
      </c>
      <c r="B79" s="15" t="s">
        <v>171</v>
      </c>
      <c r="C79" s="15" t="s">
        <v>11</v>
      </c>
      <c r="D79" s="15" t="s">
        <v>12</v>
      </c>
      <c r="E79" s="15" t="s">
        <v>13</v>
      </c>
      <c r="F79" s="15" t="s">
        <v>14</v>
      </c>
      <c r="G79" s="17" t="s">
        <v>15</v>
      </c>
      <c r="H79" s="17" t="s">
        <v>16</v>
      </c>
      <c r="I79" s="15" t="s">
        <v>17</v>
      </c>
      <c r="J79" s="15" t="s">
        <v>92</v>
      </c>
      <c r="K79" s="17" t="s">
        <v>19</v>
      </c>
      <c r="L79" s="17" t="s">
        <v>20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35.25" customHeight="1">
      <c r="B80" s="29" t="s">
        <v>322</v>
      </c>
      <c r="C80" s="28" t="s">
        <v>102</v>
      </c>
      <c r="D80" s="21" t="s">
        <v>323</v>
      </c>
      <c r="E80" s="21">
        <v>120.0</v>
      </c>
      <c r="F80" s="21">
        <v>400.0</v>
      </c>
      <c r="G80" s="21" t="s">
        <v>324</v>
      </c>
      <c r="H80" s="21" t="s">
        <v>325</v>
      </c>
      <c r="I80" s="24">
        <v>0.05</v>
      </c>
      <c r="J80" s="21" t="s">
        <v>326</v>
      </c>
      <c r="K80" s="21" t="s">
        <v>327</v>
      </c>
      <c r="L80" s="52" t="s">
        <v>86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35.25" customHeight="1">
      <c r="B81" s="29" t="s">
        <v>328</v>
      </c>
      <c r="C81" s="28" t="s">
        <v>94</v>
      </c>
      <c r="D81" s="21" t="s">
        <v>329</v>
      </c>
      <c r="E81" s="21">
        <v>90.0</v>
      </c>
      <c r="F81" s="21">
        <v>360.0</v>
      </c>
      <c r="G81" s="21" t="s">
        <v>330</v>
      </c>
      <c r="H81" s="21" t="s">
        <v>331</v>
      </c>
      <c r="I81" s="24">
        <v>0.06</v>
      </c>
      <c r="J81" s="21" t="s">
        <v>332</v>
      </c>
      <c r="K81" s="21" t="s">
        <v>333</v>
      </c>
      <c r="L81" s="52" t="s">
        <v>86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35.25" customHeight="1">
      <c r="B82" s="29" t="s">
        <v>334</v>
      </c>
      <c r="C82" s="28" t="s">
        <v>102</v>
      </c>
      <c r="D82" s="21" t="s">
        <v>234</v>
      </c>
      <c r="E82" s="21">
        <v>120.0</v>
      </c>
      <c r="F82" s="21">
        <v>420.0</v>
      </c>
      <c r="G82" s="21" t="s">
        <v>335</v>
      </c>
      <c r="H82" s="21" t="s">
        <v>336</v>
      </c>
      <c r="I82" s="24">
        <v>0.06</v>
      </c>
      <c r="J82" s="21" t="s">
        <v>337</v>
      </c>
      <c r="K82" s="21" t="s">
        <v>338</v>
      </c>
      <c r="L82" s="52" t="s">
        <v>239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35.25" customHeight="1">
      <c r="B83" s="29" t="s">
        <v>339</v>
      </c>
      <c r="C83" s="28" t="s">
        <v>94</v>
      </c>
      <c r="D83" s="21" t="s">
        <v>340</v>
      </c>
      <c r="E83" s="21">
        <v>90.0</v>
      </c>
      <c r="F83" s="21">
        <v>350.0</v>
      </c>
      <c r="G83" s="21" t="s">
        <v>341</v>
      </c>
      <c r="H83" s="21" t="s">
        <v>342</v>
      </c>
      <c r="I83" s="24">
        <v>0.05</v>
      </c>
      <c r="J83" s="21" t="s">
        <v>343</v>
      </c>
      <c r="K83" s="21" t="s">
        <v>344</v>
      </c>
      <c r="L83" s="52" t="s">
        <v>86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45.75" customHeight="1">
      <c r="B84" s="29" t="s">
        <v>345</v>
      </c>
      <c r="C84" s="28" t="s">
        <v>94</v>
      </c>
      <c r="D84" s="21" t="s">
        <v>346</v>
      </c>
      <c r="E84" s="21">
        <v>100.0</v>
      </c>
      <c r="F84" s="21">
        <v>380.0</v>
      </c>
      <c r="G84" s="21" t="s">
        <v>347</v>
      </c>
      <c r="H84" s="21" t="s">
        <v>348</v>
      </c>
      <c r="I84" s="24">
        <v>0.06</v>
      </c>
      <c r="J84" s="21" t="s">
        <v>349</v>
      </c>
      <c r="K84" s="21" t="s">
        <v>350</v>
      </c>
      <c r="L84" s="52" t="s">
        <v>86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35.25" customHeight="1">
      <c r="B85" s="29" t="s">
        <v>351</v>
      </c>
      <c r="C85" s="28" t="s">
        <v>102</v>
      </c>
      <c r="D85" s="21" t="s">
        <v>352</v>
      </c>
      <c r="E85" s="21">
        <v>105.0</v>
      </c>
      <c r="F85" s="21">
        <v>400.0</v>
      </c>
      <c r="G85" s="21" t="s">
        <v>353</v>
      </c>
      <c r="H85" s="21" t="s">
        <v>354</v>
      </c>
      <c r="I85" s="24">
        <v>0.06</v>
      </c>
      <c r="J85" s="21" t="s">
        <v>355</v>
      </c>
      <c r="K85" s="21" t="s">
        <v>356</v>
      </c>
      <c r="L85" s="52" t="s">
        <v>239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35.25" customHeight="1">
      <c r="B86" s="29" t="s">
        <v>357</v>
      </c>
      <c r="C86" s="28" t="s">
        <v>94</v>
      </c>
      <c r="D86" s="30" t="s">
        <v>358</v>
      </c>
      <c r="E86" s="30">
        <v>75.0</v>
      </c>
      <c r="F86" s="21">
        <v>320.0</v>
      </c>
      <c r="G86" s="21" t="s">
        <v>359</v>
      </c>
      <c r="H86" s="30" t="s">
        <v>360</v>
      </c>
      <c r="I86" s="24">
        <v>0.05</v>
      </c>
      <c r="J86" s="30" t="s">
        <v>361</v>
      </c>
      <c r="K86" s="30" t="s">
        <v>362</v>
      </c>
      <c r="L86" s="52" t="s">
        <v>86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45.0" customHeight="1">
      <c r="B87" s="29" t="s">
        <v>363</v>
      </c>
      <c r="C87" s="28" t="s">
        <v>94</v>
      </c>
      <c r="D87" s="32" t="s">
        <v>364</v>
      </c>
      <c r="E87" s="21">
        <v>60.0</v>
      </c>
      <c r="F87" s="21">
        <v>280.0</v>
      </c>
      <c r="G87" s="21" t="s">
        <v>365</v>
      </c>
      <c r="H87" s="32" t="s">
        <v>366</v>
      </c>
      <c r="I87" s="24">
        <v>0.04</v>
      </c>
      <c r="J87" s="32" t="s">
        <v>367</v>
      </c>
      <c r="K87" s="32" t="s">
        <v>368</v>
      </c>
      <c r="L87" s="52" t="s">
        <v>86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35.25" customHeight="1">
      <c r="B88" s="29" t="s">
        <v>369</v>
      </c>
      <c r="C88" s="28" t="s">
        <v>102</v>
      </c>
      <c r="D88" s="21" t="s">
        <v>370</v>
      </c>
      <c r="E88" s="21">
        <v>90.0</v>
      </c>
      <c r="F88" s="21">
        <v>340.0</v>
      </c>
      <c r="G88" s="21" t="s">
        <v>371</v>
      </c>
      <c r="H88" s="21" t="s">
        <v>372</v>
      </c>
      <c r="I88" s="24">
        <v>0.05</v>
      </c>
      <c r="J88" s="21" t="s">
        <v>373</v>
      </c>
      <c r="K88" s="21" t="s">
        <v>374</v>
      </c>
      <c r="L88" s="52" t="s">
        <v>86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35.25" customHeight="1">
      <c r="B89" s="29" t="s">
        <v>375</v>
      </c>
      <c r="C89" s="35" t="s">
        <v>94</v>
      </c>
      <c r="D89" s="21" t="s">
        <v>376</v>
      </c>
      <c r="E89" s="21">
        <v>80.0</v>
      </c>
      <c r="F89" s="21">
        <v>320.0</v>
      </c>
      <c r="G89" s="29" t="s">
        <v>377</v>
      </c>
      <c r="H89" s="21" t="s">
        <v>378</v>
      </c>
      <c r="I89" s="24">
        <v>0.05</v>
      </c>
      <c r="J89" s="21" t="s">
        <v>379</v>
      </c>
      <c r="K89" s="21" t="s">
        <v>380</v>
      </c>
      <c r="L89" s="52" t="s">
        <v>251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59.25" customHeight="1">
      <c r="B90" s="29" t="s">
        <v>381</v>
      </c>
      <c r="C90" s="28" t="s">
        <v>102</v>
      </c>
      <c r="D90" s="53" t="s">
        <v>382</v>
      </c>
      <c r="E90" s="21">
        <v>120.0</v>
      </c>
      <c r="F90" s="21">
        <v>480.0</v>
      </c>
      <c r="G90" s="21" t="s">
        <v>383</v>
      </c>
      <c r="H90" s="21" t="s">
        <v>384</v>
      </c>
      <c r="I90" s="54">
        <v>0.07</v>
      </c>
      <c r="J90" s="21" t="s">
        <v>385</v>
      </c>
      <c r="K90" s="21" t="s">
        <v>386</v>
      </c>
      <c r="L90" s="52" t="s">
        <v>86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48.0" customHeight="1">
      <c r="A91" s="1"/>
      <c r="B91" s="29" t="s">
        <v>387</v>
      </c>
      <c r="C91" s="28" t="s">
        <v>102</v>
      </c>
      <c r="D91" s="53" t="s">
        <v>388</v>
      </c>
      <c r="E91" s="21">
        <v>150.0</v>
      </c>
      <c r="F91" s="21">
        <v>540.0</v>
      </c>
      <c r="G91" s="21" t="s">
        <v>389</v>
      </c>
      <c r="H91" s="21" t="s">
        <v>390</v>
      </c>
      <c r="I91" s="55">
        <v>0.08</v>
      </c>
      <c r="J91" s="21" t="s">
        <v>391</v>
      </c>
      <c r="K91" s="21" t="s">
        <v>392</v>
      </c>
      <c r="L91" s="52" t="s">
        <v>86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56.25" customHeight="1">
      <c r="A92" s="1"/>
      <c r="B92" s="40"/>
      <c r="C92" s="41"/>
      <c r="D92" s="42"/>
      <c r="E92" s="43"/>
      <c r="F92" s="43"/>
      <c r="G92" s="40"/>
      <c r="H92" s="43"/>
      <c r="I92" s="57"/>
      <c r="J92" s="43"/>
      <c r="K92" s="4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36.0" customHeight="1">
      <c r="A93" s="1"/>
      <c r="B93" s="59"/>
      <c r="C93" s="48"/>
      <c r="D93" s="42" t="s">
        <v>393</v>
      </c>
      <c r="E93" s="42">
        <f t="shared" ref="E93:F93" si="9">SUM(E80:E92)</f>
        <v>1200</v>
      </c>
      <c r="F93" s="42">
        <f t="shared" si="9"/>
        <v>4590</v>
      </c>
      <c r="G93" s="43"/>
      <c r="H93" s="42" t="s">
        <v>394</v>
      </c>
      <c r="I93" s="51">
        <f>SUM(I80:I92)</f>
        <v>0.68</v>
      </c>
      <c r="J93" s="50"/>
      <c r="K93" s="4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35.25" customHeight="1">
      <c r="A94" s="1"/>
      <c r="B94" s="59"/>
      <c r="C94" s="48"/>
      <c r="D94" s="42" t="s">
        <v>395</v>
      </c>
      <c r="E94" s="42">
        <f t="shared" ref="E94:F94" si="10">E93/60</f>
        <v>20</v>
      </c>
      <c r="F94" s="42">
        <f t="shared" si="10"/>
        <v>76.5</v>
      </c>
      <c r="G94" s="43"/>
      <c r="H94" s="42" t="s">
        <v>396</v>
      </c>
      <c r="I94" s="51">
        <v>0.2</v>
      </c>
      <c r="J94" s="50"/>
      <c r="K94" s="4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59"/>
      <c r="C95" s="48"/>
      <c r="D95" s="42"/>
      <c r="E95" s="42"/>
      <c r="F95" s="42"/>
      <c r="G95" s="43"/>
      <c r="H95" s="43"/>
      <c r="I95" s="50"/>
      <c r="J95" s="50"/>
      <c r="K95" s="4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42.0" customHeight="1">
      <c r="A96" s="1"/>
      <c r="B96" s="2"/>
      <c r="C96" s="2"/>
      <c r="D96" s="42" t="s">
        <v>397</v>
      </c>
      <c r="E96" s="42">
        <f t="shared" ref="E96:F96" si="11">E93+E76+E59+E42+E25</f>
        <v>3845</v>
      </c>
      <c r="F96" s="42">
        <f t="shared" si="11"/>
        <v>15400</v>
      </c>
      <c r="G96" s="1"/>
      <c r="H96" s="60" t="s">
        <v>398</v>
      </c>
      <c r="I96" s="61">
        <f>I94+I77+I60+I43+I26</f>
        <v>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34.5" customHeight="1">
      <c r="A97" s="1"/>
      <c r="B97" s="2"/>
      <c r="C97" s="2"/>
      <c r="D97" s="60" t="s">
        <v>399</v>
      </c>
      <c r="E97" s="60">
        <f t="shared" ref="E97:F97" si="12">E96/60</f>
        <v>64.08333333</v>
      </c>
      <c r="F97" s="60">
        <f t="shared" si="12"/>
        <v>256.6666667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2"/>
      <c r="C98" s="2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2"/>
      <c r="C99" s="2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2"/>
      <c r="C100" s="2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2"/>
      <c r="C101" s="2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2"/>
      <c r="C102" s="2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2"/>
      <c r="C103" s="2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2"/>
      <c r="C104" s="2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2"/>
      <c r="C105" s="2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2"/>
      <c r="C106" s="2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2"/>
      <c r="C107" s="2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2"/>
      <c r="C108" s="2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2"/>
      <c r="C109" s="2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2"/>
      <c r="C110" s="2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2"/>
      <c r="C111" s="2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2"/>
      <c r="C112" s="2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2"/>
      <c r="C113" s="2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2"/>
      <c r="C114" s="2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2"/>
      <c r="C115" s="2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2"/>
      <c r="C116" s="2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2"/>
      <c r="C117" s="2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2"/>
      <c r="C118" s="2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2"/>
      <c r="C119" s="2"/>
      <c r="D119" s="2"/>
      <c r="E119" s="2"/>
      <c r="F119" s="2">
        <f>600-240</f>
        <v>360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2"/>
      <c r="C120" s="2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2"/>
      <c r="C121" s="2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2"/>
      <c r="C122" s="2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2"/>
      <c r="C123" s="2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2"/>
      <c r="C124" s="2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2"/>
      <c r="C125" s="2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2"/>
      <c r="C126" s="2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2"/>
      <c r="C127" s="2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2"/>
      <c r="C128" s="2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2"/>
      <c r="C129" s="2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2"/>
      <c r="C130" s="2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2"/>
      <c r="C131" s="2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2"/>
      <c r="C132" s="2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2"/>
      <c r="C133" s="2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2"/>
      <c r="C134" s="2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2"/>
      <c r="C135" s="2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2"/>
      <c r="C136" s="2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2"/>
      <c r="C137" s="2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2"/>
      <c r="C138" s="2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2"/>
      <c r="C139" s="2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2"/>
      <c r="C140" s="2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2"/>
      <c r="C141" s="2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2"/>
      <c r="C142" s="2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2"/>
      <c r="C143" s="2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2"/>
      <c r="C144" s="2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2"/>
      <c r="C145" s="2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2"/>
      <c r="C146" s="2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2"/>
      <c r="C147" s="2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2"/>
      <c r="C148" s="2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2"/>
      <c r="C149" s="2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2"/>
      <c r="C150" s="2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2"/>
      <c r="C151" s="2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2"/>
      <c r="C152" s="2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2"/>
      <c r="C153" s="2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2"/>
      <c r="C154" s="2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2"/>
      <c r="C155" s="2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2"/>
      <c r="C156" s="2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2"/>
      <c r="C157" s="2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2"/>
      <c r="C158" s="2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2"/>
      <c r="C159" s="2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2"/>
      <c r="C160" s="2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2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2"/>
      <c r="C162" s="2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2"/>
      <c r="C163" s="2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2"/>
      <c r="C164" s="2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2"/>
      <c r="C165" s="2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2"/>
      <c r="C166" s="2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2"/>
      <c r="C167" s="2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2"/>
      <c r="C168" s="2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2"/>
      <c r="C169" s="2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2"/>
      <c r="C170" s="2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2"/>
      <c r="C171" s="2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2"/>
      <c r="C172" s="2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2"/>
      <c r="C173" s="2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2"/>
      <c r="C174" s="2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2"/>
      <c r="C175" s="2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2"/>
      <c r="C176" s="2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2"/>
      <c r="C177" s="2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2"/>
      <c r="C178" s="2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2"/>
      <c r="C179" s="2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2"/>
      <c r="C180" s="2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2"/>
      <c r="C181" s="2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2"/>
      <c r="C182" s="2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2"/>
      <c r="C183" s="2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2"/>
      <c r="C184" s="2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2"/>
      <c r="C185" s="2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2"/>
      <c r="C186" s="2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2"/>
      <c r="C187" s="2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2"/>
      <c r="C188" s="2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2"/>
      <c r="C189" s="2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2"/>
      <c r="C190" s="2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2"/>
      <c r="C191" s="2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2"/>
      <c r="C192" s="2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2"/>
      <c r="C193" s="2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2"/>
      <c r="C194" s="2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2"/>
      <c r="C195" s="2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2"/>
      <c r="C196" s="2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2"/>
      <c r="C197" s="2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2"/>
      <c r="C198" s="2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2"/>
      <c r="C199" s="2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2"/>
      <c r="C200" s="2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2"/>
      <c r="C201" s="2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2"/>
      <c r="C202" s="2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2"/>
      <c r="C203" s="2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2"/>
      <c r="C204" s="2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2"/>
      <c r="C205" s="2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2"/>
      <c r="C206" s="2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2"/>
      <c r="C207" s="2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2"/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2"/>
      <c r="C209" s="2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2"/>
      <c r="C210" s="2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2"/>
      <c r="C211" s="2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2"/>
      <c r="C212" s="2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2"/>
      <c r="C213" s="2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2"/>
      <c r="C214" s="2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2"/>
      <c r="C215" s="2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2"/>
      <c r="C216" s="2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2"/>
      <c r="C217" s="2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2"/>
      <c r="C218" s="2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2"/>
      <c r="C219" s="2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2"/>
      <c r="C220" s="2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2"/>
      <c r="C221" s="2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2"/>
      <c r="C222" s="2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2"/>
      <c r="C223" s="2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2"/>
      <c r="C224" s="2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2"/>
      <c r="C225" s="2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2"/>
      <c r="C226" s="2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2"/>
      <c r="C227" s="2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2"/>
      <c r="C228" s="2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2"/>
      <c r="C229" s="2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2"/>
      <c r="C230" s="2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2"/>
      <c r="C231" s="2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2"/>
      <c r="C232" s="2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2"/>
      <c r="C233" s="2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2"/>
      <c r="C234" s="2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2"/>
      <c r="C235" s="2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2"/>
      <c r="C236" s="2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2"/>
      <c r="C237" s="2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2"/>
      <c r="C238" s="2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2"/>
      <c r="C239" s="2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2"/>
      <c r="C240" s="2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2"/>
      <c r="C241" s="2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2"/>
      <c r="C242" s="2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2"/>
      <c r="C243" s="2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2"/>
      <c r="C244" s="2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2"/>
      <c r="C245" s="2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2"/>
      <c r="C246" s="2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2"/>
      <c r="C247" s="2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2"/>
      <c r="C248" s="2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2"/>
      <c r="C249" s="2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2"/>
      <c r="C250" s="2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2"/>
      <c r="C251" s="2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2"/>
      <c r="C252" s="2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2"/>
      <c r="C253" s="2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2"/>
      <c r="C254" s="2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2"/>
      <c r="C255" s="2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2"/>
      <c r="C256" s="2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2"/>
      <c r="C257" s="2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2"/>
      <c r="C258" s="2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2"/>
      <c r="C259" s="2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2"/>
      <c r="C260" s="2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2"/>
      <c r="C261" s="2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2"/>
      <c r="C262" s="2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2"/>
      <c r="C263" s="2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2"/>
      <c r="C264" s="2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2"/>
      <c r="C265" s="2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2"/>
      <c r="C266" s="2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2"/>
      <c r="C267" s="2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2"/>
      <c r="C268" s="2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2"/>
      <c r="C269" s="2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2"/>
      <c r="C270" s="2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2"/>
      <c r="C271" s="2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2"/>
      <c r="C272" s="2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2"/>
      <c r="C273" s="2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2"/>
      <c r="C274" s="2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2"/>
      <c r="C275" s="2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2"/>
      <c r="C276" s="2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2"/>
      <c r="C277" s="2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2"/>
      <c r="C278" s="2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2"/>
      <c r="C279" s="2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2"/>
      <c r="C280" s="2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2"/>
      <c r="C281" s="2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2"/>
      <c r="C282" s="2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2"/>
      <c r="C283" s="2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2"/>
      <c r="C284" s="2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2"/>
      <c r="C285" s="2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2"/>
      <c r="C286" s="2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2"/>
      <c r="C287" s="2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2"/>
      <c r="C288" s="2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2"/>
      <c r="C289" s="2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2"/>
      <c r="C290" s="2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2"/>
      <c r="C291" s="2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2"/>
      <c r="C292" s="2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2"/>
      <c r="C293" s="2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2"/>
      <c r="C294" s="2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2"/>
      <c r="C295" s="2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2"/>
      <c r="C296" s="2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2"/>
      <c r="C297" s="2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2"/>
      <c r="C298" s="2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2"/>
      <c r="C299" s="2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2"/>
      <c r="C300" s="2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2"/>
      <c r="C301" s="2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2"/>
      <c r="C302" s="2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2"/>
      <c r="C303" s="2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2"/>
      <c r="C304" s="2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2"/>
      <c r="C305" s="2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2"/>
      <c r="C306" s="2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2"/>
      <c r="C307" s="2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2"/>
      <c r="C308" s="2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2"/>
      <c r="C309" s="2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2"/>
      <c r="C310" s="2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2"/>
      <c r="C311" s="2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2"/>
      <c r="C312" s="2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2"/>
      <c r="C313" s="2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2"/>
      <c r="C314" s="2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2"/>
      <c r="C315" s="2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2"/>
      <c r="C316" s="2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2"/>
      <c r="C317" s="2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2"/>
      <c r="C318" s="2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2"/>
      <c r="C319" s="2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2"/>
      <c r="C320" s="2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2"/>
      <c r="C321" s="2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2"/>
      <c r="C322" s="2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2"/>
      <c r="C323" s="2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2"/>
      <c r="C324" s="2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2"/>
      <c r="C325" s="2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2"/>
      <c r="C326" s="2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2"/>
      <c r="C327" s="2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2"/>
      <c r="C328" s="2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2"/>
      <c r="C329" s="2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2"/>
      <c r="C330" s="2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2"/>
      <c r="C331" s="2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2"/>
      <c r="C332" s="2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2"/>
      <c r="C333" s="2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2"/>
      <c r="C334" s="2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2"/>
      <c r="C335" s="2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2"/>
      <c r="C336" s="2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2"/>
      <c r="C337" s="2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2"/>
      <c r="C338" s="2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2"/>
      <c r="C339" s="2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2"/>
      <c r="C340" s="2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2"/>
      <c r="C341" s="2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2"/>
      <c r="C342" s="2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2"/>
      <c r="C343" s="2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2"/>
      <c r="C344" s="2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2"/>
      <c r="C345" s="2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2"/>
      <c r="C346" s="2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2"/>
      <c r="C347" s="2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2"/>
      <c r="C348" s="2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2"/>
      <c r="C349" s="2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2"/>
      <c r="C350" s="2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2"/>
      <c r="C351" s="2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2"/>
      <c r="C352" s="2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2"/>
      <c r="C353" s="2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2"/>
      <c r="C354" s="2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2"/>
      <c r="C355" s="2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2"/>
      <c r="C356" s="2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2"/>
      <c r="C357" s="2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2"/>
      <c r="C358" s="2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2"/>
      <c r="C359" s="2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2"/>
      <c r="C360" s="2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2"/>
      <c r="C361" s="2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2"/>
      <c r="C362" s="2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2"/>
      <c r="C363" s="2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2"/>
      <c r="C364" s="2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2"/>
      <c r="C365" s="2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2"/>
      <c r="C366" s="2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2"/>
      <c r="C367" s="2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2"/>
      <c r="C368" s="2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2"/>
      <c r="C369" s="2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2"/>
      <c r="C370" s="2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2"/>
      <c r="C371" s="2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2"/>
      <c r="C372" s="2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2"/>
      <c r="C373" s="2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2"/>
      <c r="C374" s="2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2"/>
      <c r="C375" s="2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2"/>
      <c r="C376" s="2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2"/>
      <c r="C377" s="2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2"/>
      <c r="C378" s="2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2"/>
      <c r="C379" s="2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2"/>
      <c r="C380" s="2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2"/>
      <c r="C381" s="2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2"/>
      <c r="C382" s="2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2"/>
      <c r="C383" s="2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2"/>
      <c r="C384" s="2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2"/>
      <c r="C385" s="2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2"/>
      <c r="C386" s="2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2"/>
      <c r="C387" s="2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2"/>
      <c r="C388" s="2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2"/>
      <c r="C389" s="2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2"/>
      <c r="C390" s="2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2"/>
      <c r="C391" s="2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2"/>
      <c r="C392" s="2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2"/>
      <c r="C393" s="2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2"/>
      <c r="C394" s="2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2"/>
      <c r="C395" s="2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2"/>
      <c r="C396" s="2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2"/>
      <c r="C397" s="2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2"/>
      <c r="C398" s="2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2"/>
      <c r="C399" s="2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2"/>
      <c r="C400" s="2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2"/>
      <c r="C401" s="2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2"/>
      <c r="C402" s="2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2"/>
      <c r="C403" s="2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2"/>
      <c r="C404" s="2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2"/>
      <c r="C405" s="2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2"/>
      <c r="C406" s="2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2"/>
      <c r="C407" s="2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2"/>
      <c r="C408" s="2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2"/>
      <c r="C409" s="2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2"/>
      <c r="C410" s="2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2"/>
      <c r="C411" s="2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2"/>
      <c r="C412" s="2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2"/>
      <c r="C413" s="2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2"/>
      <c r="C414" s="2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2"/>
      <c r="C415" s="2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2"/>
      <c r="C416" s="2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2"/>
      <c r="C417" s="2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2"/>
      <c r="C418" s="2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2"/>
      <c r="C419" s="2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2"/>
      <c r="C420" s="2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2"/>
      <c r="C421" s="2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2"/>
      <c r="C422" s="2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2"/>
      <c r="C423" s="2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2"/>
      <c r="C424" s="2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2"/>
      <c r="C425" s="2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2"/>
      <c r="C426" s="2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2"/>
      <c r="C427" s="2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2"/>
      <c r="C428" s="2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2"/>
      <c r="C429" s="2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2"/>
      <c r="C430" s="2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2"/>
      <c r="C431" s="2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2"/>
      <c r="C432" s="2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2"/>
      <c r="C433" s="2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2"/>
      <c r="C434" s="2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2"/>
      <c r="C435" s="2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2"/>
      <c r="C436" s="2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2"/>
      <c r="C437" s="2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2"/>
      <c r="C438" s="2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2"/>
      <c r="C439" s="2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2"/>
      <c r="C440" s="2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2"/>
      <c r="C441" s="2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2"/>
      <c r="C442" s="2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2"/>
      <c r="C443" s="2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2"/>
      <c r="C444" s="2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2"/>
      <c r="C445" s="2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2"/>
      <c r="C446" s="2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2"/>
      <c r="C447" s="2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2"/>
      <c r="C448" s="2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2"/>
      <c r="C449" s="2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2"/>
      <c r="C450" s="2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2"/>
      <c r="C451" s="2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2"/>
      <c r="C452" s="2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2"/>
      <c r="C453" s="2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2"/>
      <c r="C454" s="2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2"/>
      <c r="C455" s="2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2"/>
      <c r="C456" s="2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2"/>
      <c r="C457" s="2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2"/>
      <c r="C458" s="2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2"/>
      <c r="C459" s="2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2"/>
      <c r="C460" s="2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2"/>
      <c r="C461" s="2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2"/>
      <c r="C462" s="2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2"/>
      <c r="C463" s="2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2"/>
      <c r="C464" s="2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2"/>
      <c r="C465" s="2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2"/>
      <c r="C466" s="2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2"/>
      <c r="C467" s="2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2"/>
      <c r="C468" s="2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2"/>
      <c r="C469" s="2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2"/>
      <c r="C470" s="2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2"/>
      <c r="C471" s="2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2"/>
      <c r="C472" s="2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2"/>
      <c r="C473" s="2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2"/>
      <c r="C474" s="2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2"/>
      <c r="C475" s="2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2"/>
      <c r="C476" s="2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2"/>
      <c r="C477" s="2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2"/>
      <c r="C478" s="2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2"/>
      <c r="C479" s="2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2"/>
      <c r="C480" s="2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2"/>
      <c r="C481" s="2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2"/>
      <c r="C482" s="2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2"/>
      <c r="C483" s="2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2"/>
      <c r="C484" s="2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2"/>
      <c r="C485" s="2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2"/>
      <c r="C486" s="2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2"/>
      <c r="C487" s="2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2"/>
      <c r="C488" s="2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2"/>
      <c r="C489" s="2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2"/>
      <c r="C490" s="2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2"/>
      <c r="C491" s="2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2"/>
      <c r="C492" s="2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2"/>
      <c r="C493" s="2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2"/>
      <c r="C494" s="2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2"/>
      <c r="C495" s="2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2"/>
      <c r="C496" s="2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2"/>
      <c r="C497" s="2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2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2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2"/>
      <c r="C500" s="2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2"/>
      <c r="C501" s="2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2"/>
      <c r="C502" s="2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2"/>
      <c r="C503" s="2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2"/>
      <c r="C504" s="2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2"/>
      <c r="C505" s="2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2"/>
      <c r="C506" s="2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2"/>
      <c r="C507" s="2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2"/>
      <c r="C508" s="2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2"/>
      <c r="C509" s="2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2"/>
      <c r="C510" s="2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2"/>
      <c r="C511" s="2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2"/>
      <c r="C512" s="2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2"/>
      <c r="C513" s="2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2"/>
      <c r="C514" s="2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2"/>
      <c r="C515" s="2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2"/>
      <c r="C516" s="2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2"/>
      <c r="C517" s="2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2"/>
      <c r="C518" s="2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2"/>
      <c r="C519" s="2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2"/>
      <c r="C520" s="2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2"/>
      <c r="C521" s="2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2"/>
      <c r="C522" s="2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2"/>
      <c r="C523" s="2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2"/>
      <c r="C524" s="2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2"/>
      <c r="C525" s="2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2"/>
      <c r="C526" s="2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2"/>
      <c r="C527" s="2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2"/>
      <c r="C528" s="2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2"/>
      <c r="C529" s="2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2"/>
      <c r="C530" s="2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2"/>
      <c r="C531" s="2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2"/>
      <c r="C532" s="2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2"/>
      <c r="C533" s="2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2"/>
      <c r="C534" s="2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2"/>
      <c r="C535" s="2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2"/>
      <c r="C536" s="2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2"/>
      <c r="C537" s="2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2"/>
      <c r="C538" s="2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2"/>
      <c r="C539" s="2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2"/>
      <c r="C540" s="2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2"/>
      <c r="C541" s="2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2"/>
      <c r="C542" s="2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2"/>
      <c r="C543" s="2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2"/>
      <c r="C544" s="2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2"/>
      <c r="C545" s="2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2"/>
      <c r="C546" s="2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2"/>
      <c r="C547" s="2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2"/>
      <c r="C548" s="2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2"/>
      <c r="C549" s="2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2"/>
      <c r="C550" s="2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2"/>
      <c r="C551" s="2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2"/>
      <c r="C552" s="2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2"/>
      <c r="C553" s="2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2"/>
      <c r="C554" s="2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2"/>
      <c r="C555" s="2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2"/>
      <c r="C556" s="2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2"/>
      <c r="C557" s="2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2"/>
      <c r="C558" s="2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2"/>
      <c r="C559" s="2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2"/>
      <c r="C560" s="2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2"/>
      <c r="C561" s="2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2"/>
      <c r="C562" s="2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2"/>
      <c r="C563" s="2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2"/>
      <c r="C564" s="2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2"/>
      <c r="C565" s="2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2"/>
      <c r="C566" s="2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2"/>
      <c r="C567" s="2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2"/>
      <c r="C568" s="2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2"/>
      <c r="C569" s="2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2"/>
      <c r="C570" s="2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2"/>
      <c r="C571" s="2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2"/>
      <c r="C572" s="2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2"/>
      <c r="C573" s="2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2"/>
      <c r="C574" s="2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2"/>
      <c r="C575" s="2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2"/>
      <c r="C576" s="2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2"/>
      <c r="C577" s="2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2"/>
      <c r="C578" s="2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2"/>
      <c r="C579" s="2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2"/>
      <c r="C580" s="2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2"/>
      <c r="C581" s="2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2"/>
      <c r="C582" s="2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2"/>
      <c r="C583" s="2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2"/>
      <c r="C584" s="2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2"/>
      <c r="C585" s="2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2"/>
      <c r="C586" s="2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2"/>
      <c r="C587" s="2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2"/>
      <c r="C588" s="2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2"/>
      <c r="C589" s="2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2"/>
      <c r="C590" s="2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2"/>
      <c r="C591" s="2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2"/>
      <c r="C592" s="2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2"/>
      <c r="C593" s="2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2"/>
      <c r="C594" s="2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2"/>
      <c r="C595" s="2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2"/>
      <c r="C596" s="2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2"/>
      <c r="C597" s="2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2"/>
      <c r="C598" s="2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2"/>
      <c r="C599" s="2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2"/>
      <c r="C600" s="2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2"/>
      <c r="C601" s="2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2"/>
      <c r="C602" s="2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2"/>
      <c r="C603" s="2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2"/>
      <c r="C604" s="2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2"/>
      <c r="C605" s="2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2"/>
      <c r="C606" s="2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2"/>
      <c r="C607" s="2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2"/>
      <c r="C608" s="2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2"/>
      <c r="C609" s="2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2"/>
      <c r="C610" s="2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2"/>
      <c r="C611" s="2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2"/>
      <c r="C612" s="2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2"/>
      <c r="C613" s="2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2"/>
      <c r="C614" s="2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2"/>
      <c r="C615" s="2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2"/>
      <c r="C616" s="2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2"/>
      <c r="C617" s="2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2"/>
      <c r="C618" s="2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2"/>
      <c r="C619" s="2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2"/>
      <c r="C620" s="2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2"/>
      <c r="C621" s="2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2"/>
      <c r="C622" s="2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2"/>
      <c r="C623" s="2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2"/>
      <c r="C624" s="2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2"/>
      <c r="C625" s="2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2"/>
      <c r="C626" s="2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2"/>
      <c r="C627" s="2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2"/>
      <c r="C628" s="2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2"/>
      <c r="C629" s="2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2"/>
      <c r="C630" s="2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2"/>
      <c r="C631" s="2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2"/>
      <c r="C632" s="2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2"/>
      <c r="C633" s="2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2"/>
      <c r="C634" s="2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2"/>
      <c r="C635" s="2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2"/>
      <c r="C636" s="2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2"/>
      <c r="C637" s="2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2"/>
      <c r="C638" s="2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2"/>
      <c r="C639" s="2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2"/>
      <c r="C640" s="2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2"/>
      <c r="C641" s="2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2"/>
      <c r="C642" s="2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2"/>
      <c r="C643" s="2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2"/>
      <c r="C644" s="2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2"/>
      <c r="C645" s="2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2"/>
      <c r="C646" s="2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2"/>
      <c r="C647" s="2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2"/>
      <c r="C648" s="2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2"/>
      <c r="C649" s="2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2"/>
      <c r="C650" s="2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2"/>
      <c r="C651" s="2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2"/>
      <c r="C652" s="2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2"/>
      <c r="C653" s="2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2"/>
      <c r="C654" s="2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2"/>
      <c r="C655" s="2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2"/>
      <c r="C656" s="2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2"/>
      <c r="C657" s="2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2"/>
      <c r="C658" s="2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2"/>
      <c r="C659" s="2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2"/>
      <c r="C660" s="2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2"/>
      <c r="C661" s="2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2"/>
      <c r="C662" s="2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2"/>
      <c r="C663" s="2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2"/>
      <c r="C664" s="2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2"/>
      <c r="C665" s="2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2"/>
      <c r="C666" s="2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2"/>
      <c r="C667" s="2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2"/>
      <c r="C668" s="2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2"/>
      <c r="C669" s="2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2"/>
      <c r="C670" s="2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2"/>
      <c r="C671" s="2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2"/>
      <c r="C672" s="2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2"/>
      <c r="C673" s="2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2"/>
      <c r="C674" s="2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2"/>
      <c r="C675" s="2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2"/>
      <c r="C676" s="2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2"/>
      <c r="C677" s="2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2"/>
      <c r="C678" s="2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2"/>
      <c r="C679" s="2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2"/>
      <c r="C680" s="2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2"/>
      <c r="C681" s="2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2"/>
      <c r="C682" s="2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2"/>
      <c r="C683" s="2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2"/>
      <c r="C684" s="2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2"/>
      <c r="C685" s="2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2"/>
      <c r="C686" s="2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2"/>
      <c r="C687" s="2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2"/>
      <c r="C688" s="2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2"/>
      <c r="C689" s="2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2"/>
      <c r="C690" s="2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2"/>
      <c r="C691" s="2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2"/>
      <c r="C692" s="2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2"/>
      <c r="C693" s="2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2"/>
      <c r="C694" s="2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2"/>
      <c r="C695" s="2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2"/>
      <c r="C696" s="2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2"/>
      <c r="C697" s="2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2"/>
      <c r="C698" s="2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2"/>
      <c r="C699" s="2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2"/>
      <c r="C700" s="2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2"/>
      <c r="C701" s="2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2"/>
      <c r="C702" s="2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2"/>
      <c r="C703" s="2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2"/>
      <c r="C704" s="2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2"/>
      <c r="C705" s="2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2"/>
      <c r="C706" s="2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2"/>
      <c r="C707" s="2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2"/>
      <c r="C708" s="2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2"/>
      <c r="C709" s="2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2"/>
      <c r="C710" s="2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2"/>
      <c r="C711" s="2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2"/>
      <c r="C712" s="2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2"/>
      <c r="C713" s="2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2"/>
      <c r="C714" s="2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2"/>
      <c r="C715" s="2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2"/>
      <c r="C716" s="2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2"/>
      <c r="C717" s="2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2"/>
      <c r="C718" s="2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2"/>
      <c r="C719" s="2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2"/>
      <c r="C720" s="2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2"/>
      <c r="C721" s="2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2"/>
      <c r="C722" s="2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2"/>
      <c r="C723" s="2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2"/>
      <c r="C724" s="2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2"/>
      <c r="C725" s="2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2"/>
      <c r="C726" s="2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2"/>
      <c r="C727" s="2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2"/>
      <c r="C728" s="2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2"/>
      <c r="C729" s="2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2"/>
      <c r="C730" s="2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2"/>
      <c r="C731" s="2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2"/>
      <c r="C732" s="2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2"/>
      <c r="C733" s="2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2"/>
      <c r="C734" s="2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2"/>
      <c r="C735" s="2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2"/>
      <c r="C736" s="2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2"/>
      <c r="C737" s="2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2"/>
      <c r="C738" s="2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2"/>
      <c r="C739" s="2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2"/>
      <c r="C740" s="2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2"/>
      <c r="C741" s="2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2"/>
      <c r="C742" s="2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2"/>
      <c r="C743" s="2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2"/>
      <c r="C744" s="2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2"/>
      <c r="C745" s="2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2"/>
      <c r="C746" s="2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2"/>
      <c r="C747" s="2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2"/>
      <c r="C748" s="2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2"/>
      <c r="C749" s="2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2"/>
      <c r="C750" s="2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2"/>
      <c r="C751" s="2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2"/>
      <c r="C752" s="2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2"/>
      <c r="C753" s="2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2"/>
      <c r="C754" s="2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2"/>
      <c r="C755" s="2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2"/>
      <c r="C756" s="2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2"/>
      <c r="C757" s="2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2"/>
      <c r="C758" s="2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2"/>
      <c r="C759" s="2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2"/>
      <c r="C760" s="2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2"/>
      <c r="C761" s="2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2"/>
      <c r="C762" s="2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2"/>
      <c r="C763" s="2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2"/>
      <c r="C764" s="2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2"/>
      <c r="C765" s="2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2"/>
      <c r="C766" s="2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2"/>
      <c r="C767" s="2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2"/>
      <c r="C768" s="2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2"/>
      <c r="C769" s="2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2"/>
      <c r="C770" s="2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2"/>
      <c r="C771" s="2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2"/>
      <c r="C772" s="2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2"/>
      <c r="C773" s="2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2"/>
      <c r="C774" s="2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2"/>
      <c r="C775" s="2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2"/>
      <c r="C776" s="2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2"/>
      <c r="C777" s="2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2"/>
      <c r="C778" s="2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2"/>
      <c r="C779" s="2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2"/>
      <c r="C780" s="2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2"/>
      <c r="C781" s="2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2"/>
      <c r="C782" s="2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2"/>
      <c r="C783" s="2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2"/>
      <c r="C784" s="2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2"/>
      <c r="C785" s="2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2"/>
      <c r="C786" s="2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2"/>
      <c r="C787" s="2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2"/>
      <c r="C788" s="2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2"/>
      <c r="C789" s="2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2"/>
      <c r="C790" s="2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2"/>
      <c r="C791" s="2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2"/>
      <c r="C792" s="2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2"/>
      <c r="C793" s="2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2"/>
      <c r="C794" s="2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2"/>
      <c r="C795" s="2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2"/>
      <c r="C796" s="2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2"/>
      <c r="C797" s="2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2"/>
      <c r="C798" s="2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2"/>
      <c r="C799" s="2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2"/>
      <c r="C800" s="2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2"/>
      <c r="C801" s="2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2"/>
      <c r="C802" s="2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2"/>
      <c r="C803" s="2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2"/>
      <c r="C804" s="2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2"/>
      <c r="C805" s="2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2"/>
      <c r="C806" s="2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2"/>
      <c r="C807" s="2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2"/>
      <c r="C808" s="2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2"/>
      <c r="C809" s="2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2"/>
      <c r="C810" s="2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2"/>
      <c r="C811" s="2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2"/>
      <c r="C812" s="2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2"/>
      <c r="C813" s="2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2"/>
      <c r="C814" s="2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2"/>
      <c r="C815" s="2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2"/>
      <c r="C816" s="2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2"/>
      <c r="C817" s="2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2"/>
      <c r="C818" s="2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2"/>
      <c r="C819" s="2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2"/>
      <c r="C820" s="2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2"/>
      <c r="C821" s="2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2"/>
      <c r="C822" s="2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2"/>
      <c r="C823" s="2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2"/>
      <c r="C824" s="2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2"/>
      <c r="C825" s="2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2"/>
      <c r="C826" s="2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2"/>
      <c r="C827" s="2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2"/>
      <c r="C828" s="2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2"/>
      <c r="C829" s="2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2"/>
      <c r="C830" s="2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2"/>
      <c r="C831" s="2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2"/>
      <c r="C832" s="2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2"/>
      <c r="C833" s="2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2"/>
      <c r="C834" s="2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2"/>
      <c r="C835" s="2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2"/>
      <c r="C836" s="2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2"/>
      <c r="C837" s="2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2"/>
      <c r="C838" s="2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2"/>
      <c r="C839" s="2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2"/>
      <c r="C840" s="2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2"/>
      <c r="C841" s="2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2"/>
      <c r="C842" s="2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2"/>
      <c r="C843" s="2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2"/>
      <c r="C844" s="2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2"/>
      <c r="C845" s="2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2"/>
      <c r="C846" s="2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2"/>
      <c r="C847" s="2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2"/>
      <c r="C848" s="2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2"/>
      <c r="C849" s="2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2"/>
      <c r="C850" s="2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2"/>
      <c r="C851" s="2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2"/>
      <c r="C852" s="2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2"/>
      <c r="C853" s="2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2"/>
      <c r="C854" s="2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2"/>
      <c r="C855" s="2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2"/>
      <c r="C856" s="2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2"/>
      <c r="C857" s="2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2"/>
      <c r="C858" s="2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2"/>
      <c r="C859" s="2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2"/>
      <c r="C860" s="2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2"/>
      <c r="C861" s="2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2"/>
      <c r="C862" s="2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2"/>
      <c r="C863" s="2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2"/>
      <c r="C864" s="2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2"/>
      <c r="C865" s="2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2"/>
      <c r="C866" s="2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2"/>
      <c r="C867" s="2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2"/>
      <c r="C868" s="2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2"/>
      <c r="C869" s="2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2"/>
      <c r="C870" s="2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2"/>
      <c r="C871" s="2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2"/>
      <c r="C872" s="2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2"/>
      <c r="C873" s="2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2"/>
      <c r="C874" s="2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2"/>
      <c r="C875" s="2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2"/>
      <c r="C876" s="2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2"/>
      <c r="C877" s="2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2"/>
      <c r="C878" s="2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2"/>
      <c r="C879" s="2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2"/>
      <c r="C880" s="2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2"/>
      <c r="C881" s="2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2"/>
      <c r="C882" s="2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2"/>
      <c r="C883" s="2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2"/>
      <c r="C884" s="2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2"/>
      <c r="C885" s="2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2"/>
      <c r="C886" s="2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2"/>
      <c r="C887" s="2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2"/>
      <c r="C888" s="2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2"/>
      <c r="C889" s="2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2"/>
      <c r="C890" s="2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2"/>
      <c r="C891" s="2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2"/>
      <c r="C892" s="2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2"/>
      <c r="C893" s="2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2"/>
      <c r="C894" s="2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2"/>
      <c r="C895" s="2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2"/>
      <c r="C896" s="2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2"/>
      <c r="C897" s="2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2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2"/>
      <c r="C899" s="2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2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2"/>
      <c r="C901" s="2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2"/>
      <c r="C902" s="2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2"/>
      <c r="C903" s="2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2"/>
      <c r="C904" s="2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2"/>
      <c r="C905" s="2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2"/>
      <c r="C906" s="2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2"/>
      <c r="C907" s="2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2"/>
      <c r="C908" s="2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2"/>
      <c r="C909" s="2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2"/>
      <c r="C910" s="2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2"/>
      <c r="C911" s="2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2"/>
      <c r="C912" s="2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2"/>
      <c r="C913" s="2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2"/>
      <c r="C914" s="2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2"/>
      <c r="C915" s="2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2"/>
      <c r="C916" s="2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2"/>
      <c r="C917" s="2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2"/>
      <c r="C918" s="2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2"/>
      <c r="C919" s="2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2"/>
      <c r="C920" s="2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2"/>
      <c r="C921" s="2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2"/>
      <c r="C922" s="2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2"/>
      <c r="C923" s="2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2"/>
      <c r="C924" s="2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2"/>
      <c r="C925" s="2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2"/>
      <c r="C926" s="2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2"/>
      <c r="C927" s="2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2"/>
      <c r="C928" s="2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2"/>
      <c r="C929" s="2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2"/>
      <c r="C930" s="2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2"/>
      <c r="C931" s="2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2"/>
      <c r="C932" s="2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2"/>
      <c r="C933" s="2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2"/>
      <c r="C934" s="2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2"/>
      <c r="C935" s="2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2"/>
      <c r="C936" s="2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2"/>
      <c r="C937" s="2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2"/>
      <c r="C938" s="2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2"/>
      <c r="C939" s="2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2"/>
      <c r="C940" s="2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2"/>
      <c r="C941" s="2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2"/>
      <c r="C942" s="2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2"/>
      <c r="C943" s="2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2"/>
      <c r="C944" s="2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2"/>
      <c r="C945" s="2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2"/>
      <c r="C946" s="2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2"/>
      <c r="C947" s="2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2"/>
      <c r="C948" s="2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2"/>
      <c r="C949" s="2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2"/>
      <c r="C950" s="2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2"/>
      <c r="C951" s="2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2"/>
      <c r="C952" s="2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2"/>
      <c r="C953" s="2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2"/>
      <c r="C954" s="2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2"/>
      <c r="C955" s="2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2"/>
      <c r="C956" s="2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2"/>
      <c r="C957" s="2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2"/>
      <c r="C958" s="2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2"/>
      <c r="C959" s="2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2"/>
      <c r="C960" s="2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2"/>
      <c r="C961" s="2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2"/>
      <c r="C962" s="2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2"/>
      <c r="C963" s="2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2"/>
      <c r="C964" s="2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2"/>
      <c r="C965" s="2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2"/>
      <c r="C966" s="2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2"/>
      <c r="C967" s="2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2"/>
      <c r="C968" s="2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2"/>
      <c r="C969" s="2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2"/>
      <c r="C970" s="2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2"/>
      <c r="C971" s="2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2"/>
      <c r="C972" s="2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2"/>
      <c r="C973" s="2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2"/>
      <c r="C974" s="2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2"/>
      <c r="C975" s="2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2"/>
      <c r="C976" s="2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2"/>
      <c r="C977" s="2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2"/>
      <c r="C978" s="2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2"/>
      <c r="C979" s="2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2"/>
      <c r="C980" s="2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2"/>
      <c r="C981" s="2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2"/>
      <c r="C982" s="2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2"/>
      <c r="C983" s="2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2"/>
      <c r="C984" s="2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2"/>
      <c r="C985" s="2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2"/>
      <c r="C986" s="2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2"/>
      <c r="C987" s="2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2"/>
      <c r="C988" s="2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2"/>
      <c r="C989" s="2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2"/>
      <c r="C990" s="2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2"/>
      <c r="C991" s="2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2"/>
      <c r="C992" s="2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2"/>
      <c r="C993" s="2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2"/>
      <c r="C994" s="2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2"/>
      <c r="C995" s="2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2"/>
      <c r="C996" s="2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2"/>
      <c r="C997" s="2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2"/>
      <c r="C998" s="2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2"/>
      <c r="C999" s="2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2"/>
      <c r="C1000" s="2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2.75" customHeight="1">
      <c r="A1001" s="1"/>
      <c r="B1001" s="2"/>
      <c r="C1001" s="2"/>
      <c r="D1001" s="2"/>
      <c r="E1001" s="2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2.75" customHeight="1">
      <c r="A1002" s="1"/>
      <c r="B1002" s="2"/>
      <c r="C1002" s="2"/>
      <c r="D1002" s="2"/>
      <c r="E1002" s="2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2.75" customHeight="1">
      <c r="A1003" s="1"/>
      <c r="B1003" s="2"/>
      <c r="C1003" s="2"/>
      <c r="D1003" s="2"/>
      <c r="E1003" s="2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2.75" customHeight="1">
      <c r="A1004" s="1"/>
      <c r="B1004" s="2"/>
      <c r="C1004" s="2"/>
      <c r="D1004" s="2"/>
      <c r="E1004" s="2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2.75" customHeight="1">
      <c r="A1005" s="1"/>
      <c r="B1005" s="2"/>
      <c r="C1005" s="2"/>
      <c r="D1005" s="2"/>
      <c r="E1005" s="2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2.75" customHeight="1">
      <c r="A1006" s="1"/>
      <c r="B1006" s="2"/>
      <c r="C1006" s="2"/>
      <c r="D1006" s="2"/>
      <c r="E1006" s="2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ht="12.75" customHeight="1">
      <c r="A1007" s="1"/>
      <c r="B1007" s="2"/>
      <c r="C1007" s="2"/>
      <c r="D1007" s="2"/>
      <c r="E1007" s="2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ht="12.75" customHeight="1">
      <c r="A1008" s="1"/>
      <c r="B1008" s="2"/>
      <c r="C1008" s="2"/>
      <c r="D1008" s="2"/>
      <c r="E1008" s="2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ht="12.75" customHeight="1">
      <c r="A1009" s="1"/>
      <c r="B1009" s="2"/>
      <c r="C1009" s="2"/>
      <c r="D1009" s="2"/>
      <c r="E1009" s="2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ht="12.75" customHeight="1">
      <c r="A1010" s="1"/>
      <c r="B1010" s="2"/>
      <c r="C1010" s="2"/>
      <c r="D1010" s="2"/>
      <c r="E1010" s="2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ht="12.75" customHeight="1">
      <c r="A1011" s="1"/>
      <c r="B1011" s="2"/>
      <c r="C1011" s="2"/>
      <c r="D1011" s="2"/>
      <c r="E1011" s="2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ht="12.75" customHeight="1">
      <c r="A1012" s="1"/>
      <c r="B1012" s="2"/>
      <c r="C1012" s="2"/>
      <c r="D1012" s="2"/>
      <c r="E1012" s="2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ht="12.75" customHeight="1">
      <c r="A1013" s="1"/>
      <c r="B1013" s="2"/>
      <c r="C1013" s="2"/>
      <c r="D1013" s="2"/>
      <c r="E1013" s="2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ht="12.75" customHeight="1">
      <c r="A1014" s="1"/>
      <c r="B1014" s="2"/>
      <c r="C1014" s="2"/>
      <c r="D1014" s="2"/>
      <c r="E1014" s="2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ht="12.75" customHeight="1">
      <c r="A1015" s="1"/>
      <c r="B1015" s="2"/>
      <c r="C1015" s="2"/>
      <c r="D1015" s="2"/>
      <c r="E1015" s="2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ht="12.75" customHeight="1">
      <c r="A1016" s="1"/>
      <c r="B1016" s="2"/>
      <c r="C1016" s="2"/>
      <c r="D1016" s="2"/>
      <c r="E1016" s="2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</sheetData>
  <mergeCells count="8">
    <mergeCell ref="B2:K2"/>
    <mergeCell ref="C5:K5"/>
    <mergeCell ref="C6:K6"/>
    <mergeCell ref="A11:A19"/>
    <mergeCell ref="A28:A39"/>
    <mergeCell ref="A45:A56"/>
    <mergeCell ref="A62:A73"/>
    <mergeCell ref="A79:A9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2013-05-22T14:19:39Z</dcterms:created>
  <dc:creator>Maria del Pilar Prado Brand</dc:creator>
</cp:coreProperties>
</file>